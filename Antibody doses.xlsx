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13_ncr:1_{48F7E3A5-11C9-4B5A-822C-35AE84605770}" xr6:coauthVersionLast="47" xr6:coauthVersionMax="47" xr10:uidLastSave="{00000000-0000-0000-0000-000000000000}"/>
  <bookViews>
    <workbookView xWindow="16371" yWindow="0" windowWidth="16629" windowHeight="17880" xr2:uid="{116471A8-54B7-4BBC-8DA4-5C122436A7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7" i="1"/>
  <c r="F14" i="1"/>
  <c r="H36" i="1"/>
  <c r="H38" i="1" s="1"/>
  <c r="H39" i="1" s="1"/>
  <c r="F36" i="1"/>
  <c r="F38" i="1" s="1"/>
  <c r="F39" i="1" s="1"/>
  <c r="D36" i="1"/>
  <c r="F58" i="1"/>
  <c r="F57" i="1"/>
  <c r="F56" i="1"/>
  <c r="F55" i="1"/>
  <c r="F23" i="1"/>
  <c r="F22" i="1"/>
  <c r="F21" i="1"/>
  <c r="F20" i="1"/>
  <c r="C58" i="1"/>
  <c r="C52" i="1"/>
  <c r="C51" i="1"/>
  <c r="C57" i="1" s="1"/>
  <c r="C50" i="1"/>
  <c r="C56" i="1" s="1"/>
  <c r="C49" i="1"/>
  <c r="C55" i="1" s="1"/>
  <c r="I46" i="1"/>
  <c r="F46" i="1"/>
  <c r="G46" i="1" s="1"/>
  <c r="I45" i="1"/>
  <c r="F45" i="1"/>
  <c r="G45" i="1" s="1"/>
  <c r="I44" i="1"/>
  <c r="F44" i="1"/>
  <c r="G44" i="1" s="1"/>
  <c r="I43" i="1"/>
  <c r="F43" i="1"/>
  <c r="G43" i="1" s="1"/>
  <c r="D38" i="1"/>
  <c r="D39" i="1" s="1"/>
  <c r="B38" i="1"/>
  <c r="B39" i="1" s="1"/>
  <c r="C21" i="1"/>
  <c r="C22" i="1"/>
  <c r="C23" i="1"/>
  <c r="C20" i="1"/>
  <c r="I11" i="1"/>
  <c r="I10" i="1"/>
  <c r="I9" i="1"/>
  <c r="I8" i="1"/>
  <c r="C15" i="1"/>
  <c r="C16" i="1"/>
  <c r="C17" i="1"/>
  <c r="C14" i="1"/>
  <c r="G9" i="1"/>
  <c r="G10" i="1"/>
  <c r="G11" i="1"/>
  <c r="G8" i="1"/>
  <c r="F11" i="1"/>
  <c r="F10" i="1"/>
  <c r="F9" i="1"/>
  <c r="F8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2" i="2"/>
  <c r="D4" i="1"/>
  <c r="D5" i="1" s="1"/>
  <c r="B5" i="1"/>
  <c r="B4" i="1"/>
</calcChain>
</file>

<file path=xl/sharedStrings.xml><?xml version="1.0" encoding="utf-8"?>
<sst xmlns="http://schemas.openxmlformats.org/spreadsheetml/2006/main" count="362" uniqueCount="54">
  <si>
    <t>Gantenerumab</t>
  </si>
  <si>
    <t>Dose</t>
  </si>
  <si>
    <t>mg</t>
  </si>
  <si>
    <t>MW</t>
  </si>
  <si>
    <t>g / mol</t>
  </si>
  <si>
    <t>mmol</t>
  </si>
  <si>
    <t>nmol</t>
  </si>
  <si>
    <t>Gant300</t>
  </si>
  <si>
    <t>Time (days)</t>
  </si>
  <si>
    <t>Conc (nM)</t>
  </si>
  <si>
    <t>series</t>
  </si>
  <si>
    <t>model</t>
  </si>
  <si>
    <t>data</t>
  </si>
  <si>
    <t>observation</t>
  </si>
  <si>
    <t>time</t>
  </si>
  <si>
    <t>Monomer</t>
  </si>
  <si>
    <t>Oligomer</t>
  </si>
  <si>
    <t>protofibril</t>
  </si>
  <si>
    <t>fibril</t>
  </si>
  <si>
    <t>ka (M-1 s-1)</t>
  </si>
  <si>
    <t>kd (s-1)</t>
  </si>
  <si>
    <t>KD (nM)</t>
  </si>
  <si>
    <t>Soderberg 2022</t>
  </si>
  <si>
    <t>Geerts 2023</t>
  </si>
  <si>
    <t>Oligomers</t>
  </si>
  <si>
    <t>Protofibrils</t>
  </si>
  <si>
    <t>Plaques</t>
  </si>
  <si>
    <t>Affinity (nM)</t>
  </si>
  <si>
    <t>ka (nM-1 s-1)</t>
  </si>
  <si>
    <t>Ka (nM-1)</t>
  </si>
  <si>
    <t>Esguerra</t>
  </si>
  <si>
    <t>fta2</t>
  </si>
  <si>
    <t>fta1</t>
  </si>
  <si>
    <t>fta3</t>
  </si>
  <si>
    <t>ka (nM-1 h-1)</t>
  </si>
  <si>
    <t>fta0</t>
  </si>
  <si>
    <t>(nM-1 h-1)</t>
  </si>
  <si>
    <t>factor</t>
  </si>
  <si>
    <t>k0_Antibody</t>
  </si>
  <si>
    <t>=</t>
  </si>
  <si>
    <t>;</t>
  </si>
  <si>
    <t>k0_Antibody has nanomol/(L*h)</t>
  </si>
  <si>
    <t>k1_Antibody</t>
  </si>
  <si>
    <t>k2_Antibody</t>
  </si>
  <si>
    <t>k3_Antibody</t>
  </si>
  <si>
    <t>full_2bPK</t>
  </si>
  <si>
    <t>Lecanemab</t>
  </si>
  <si>
    <t>Kd calc nM</t>
  </si>
  <si>
    <t>Ratio ka/fta</t>
  </si>
  <si>
    <t>kg</t>
  </si>
  <si>
    <t>mg/kg</t>
  </si>
  <si>
    <t>mmol/kg</t>
  </si>
  <si>
    <t>nmol/kg</t>
  </si>
  <si>
    <t>Ratio ka/Ka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</si>
</sst>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284A-65FD-4363-98F8-38BED9A8E5ED}">
  <dimension ref="A1:I58"/>
  <sheetViews>
    <sheetView tabSelected="1" workbookViewId="0">
      <selection activeCell="B23" sqref="B23"/>
    </sheetView>
  </sheetViews>
  <sheetFormatPr defaultRowHeight="14.6" x14ac:dyDescent="0.4"/>
  <cols>
    <col min="1" max="1" width="11.07421875" customWidth="1"/>
    <col min="2" max="2" width="11.3046875" customWidth="1"/>
  </cols>
  <sheetData>
    <row r="1" spans="1:9" x14ac:dyDescent="0.4">
      <c r="A1" t="s">
        <v>0</v>
      </c>
    </row>
    <row r="2" spans="1:9" x14ac:dyDescent="0.4">
      <c r="A2" t="s">
        <v>1</v>
      </c>
      <c r="B2">
        <v>300</v>
      </c>
      <c r="C2" t="s">
        <v>2</v>
      </c>
      <c r="D2">
        <v>1200</v>
      </c>
      <c r="E2" t="s">
        <v>2</v>
      </c>
    </row>
    <row r="3" spans="1:9" x14ac:dyDescent="0.4">
      <c r="A3" t="s">
        <v>3</v>
      </c>
      <c r="B3">
        <v>146300</v>
      </c>
      <c r="C3" t="s">
        <v>4</v>
      </c>
      <c r="D3">
        <v>146300</v>
      </c>
      <c r="E3" t="s">
        <v>4</v>
      </c>
    </row>
    <row r="4" spans="1:9" x14ac:dyDescent="0.4">
      <c r="A4" t="s">
        <v>1</v>
      </c>
      <c r="B4">
        <f>B2/B3</f>
        <v>2.050580997949419E-3</v>
      </c>
      <c r="C4" t="s">
        <v>5</v>
      </c>
      <c r="D4">
        <f>D2/D3</f>
        <v>8.2023239917976762E-3</v>
      </c>
      <c r="E4" t="s">
        <v>5</v>
      </c>
    </row>
    <row r="5" spans="1:9" x14ac:dyDescent="0.4">
      <c r="A5" t="s">
        <v>1</v>
      </c>
      <c r="B5">
        <f>B4*1000*1000</f>
        <v>2050.5809979494193</v>
      </c>
      <c r="C5" t="s">
        <v>6</v>
      </c>
      <c r="D5">
        <f>D4*1000*1000</f>
        <v>8202.3239917976771</v>
      </c>
      <c r="E5" t="s">
        <v>6</v>
      </c>
    </row>
    <row r="7" spans="1:9" x14ac:dyDescent="0.4">
      <c r="A7" t="s">
        <v>22</v>
      </c>
      <c r="B7" t="s">
        <v>19</v>
      </c>
      <c r="C7" t="s">
        <v>20</v>
      </c>
      <c r="D7" t="s">
        <v>21</v>
      </c>
      <c r="F7" t="s">
        <v>28</v>
      </c>
      <c r="G7" t="s">
        <v>34</v>
      </c>
      <c r="I7" t="s">
        <v>47</v>
      </c>
    </row>
    <row r="8" spans="1:9" x14ac:dyDescent="0.4">
      <c r="A8" t="s">
        <v>15</v>
      </c>
      <c r="B8">
        <v>37000</v>
      </c>
      <c r="C8" s="1">
        <v>4.8000000000000001E-2</v>
      </c>
      <c r="D8">
        <v>1300</v>
      </c>
      <c r="F8">
        <f>B8/1000000000</f>
        <v>3.6999999999999998E-5</v>
      </c>
      <c r="G8">
        <f>F8*3600</f>
        <v>0.13319999999999999</v>
      </c>
      <c r="I8" s="1">
        <f>C8/B8*1000000000</f>
        <v>1297.2972972972973</v>
      </c>
    </row>
    <row r="9" spans="1:9" x14ac:dyDescent="0.4">
      <c r="A9" t="s">
        <v>16</v>
      </c>
      <c r="B9">
        <v>460000</v>
      </c>
      <c r="C9" s="1">
        <v>2.5999999999999999E-3</v>
      </c>
      <c r="D9">
        <v>5.7</v>
      </c>
      <c r="F9">
        <f t="shared" ref="F9:F11" si="0">B9/1000000000</f>
        <v>4.6000000000000001E-4</v>
      </c>
      <c r="G9">
        <f t="shared" ref="G9:G11" si="1">F9*3600</f>
        <v>1.6560000000000001</v>
      </c>
      <c r="I9" s="1">
        <f t="shared" ref="I9:I11" si="2">C9/B9*1000000000</f>
        <v>5.6521739130434776</v>
      </c>
    </row>
    <row r="10" spans="1:9" x14ac:dyDescent="0.4">
      <c r="A10" t="s">
        <v>17</v>
      </c>
      <c r="B10">
        <v>400000</v>
      </c>
      <c r="C10" s="1">
        <v>9.3999999999999997E-4</v>
      </c>
      <c r="D10">
        <v>2.5</v>
      </c>
      <c r="F10">
        <f t="shared" si="0"/>
        <v>4.0000000000000002E-4</v>
      </c>
      <c r="G10">
        <f t="shared" si="1"/>
        <v>1.4400000000000002</v>
      </c>
      <c r="I10" s="1">
        <f t="shared" si="2"/>
        <v>2.35</v>
      </c>
    </row>
    <row r="11" spans="1:9" x14ac:dyDescent="0.4">
      <c r="A11" t="s">
        <v>18</v>
      </c>
      <c r="B11">
        <v>140000</v>
      </c>
      <c r="C11" s="1">
        <v>9.3999999999999994E-5</v>
      </c>
      <c r="D11">
        <v>0.69</v>
      </c>
      <c r="F11">
        <f t="shared" si="0"/>
        <v>1.3999999999999999E-4</v>
      </c>
      <c r="G11">
        <f t="shared" si="1"/>
        <v>0.504</v>
      </c>
      <c r="I11" s="1">
        <f t="shared" si="2"/>
        <v>0.67142857142857137</v>
      </c>
    </row>
    <row r="13" spans="1:9" x14ac:dyDescent="0.4">
      <c r="A13" t="s">
        <v>23</v>
      </c>
      <c r="B13" t="s">
        <v>27</v>
      </c>
      <c r="C13" t="s">
        <v>29</v>
      </c>
      <c r="F13" t="s">
        <v>53</v>
      </c>
    </row>
    <row r="14" spans="1:9" x14ac:dyDescent="0.4">
      <c r="A14" t="s">
        <v>15</v>
      </c>
      <c r="B14">
        <v>1270</v>
      </c>
      <c r="C14">
        <f>1/B14</f>
        <v>7.874015748031496E-4</v>
      </c>
      <c r="F14" s="2">
        <f>G8/B14</f>
        <v>1.0488188976377951E-4</v>
      </c>
    </row>
    <row r="15" spans="1:9" x14ac:dyDescent="0.4">
      <c r="A15" t="s">
        <v>24</v>
      </c>
      <c r="B15">
        <v>30.7</v>
      </c>
      <c r="C15">
        <f t="shared" ref="C15:C17" si="3">1/B15</f>
        <v>3.2573289902280131E-2</v>
      </c>
      <c r="F15" s="2">
        <f t="shared" ref="F15:F17" si="4">G9/B15</f>
        <v>5.39413680781759E-2</v>
      </c>
    </row>
    <row r="16" spans="1:9" x14ac:dyDescent="0.4">
      <c r="A16" t="s">
        <v>25</v>
      </c>
      <c r="B16">
        <v>2.5099999999999998</v>
      </c>
      <c r="C16">
        <f t="shared" si="3"/>
        <v>0.39840637450199207</v>
      </c>
      <c r="F16" s="2">
        <f t="shared" si="4"/>
        <v>0.57370517928286868</v>
      </c>
    </row>
    <row r="17" spans="1:8" x14ac:dyDescent="0.4">
      <c r="A17" t="s">
        <v>26</v>
      </c>
      <c r="B17">
        <v>0.69</v>
      </c>
      <c r="C17">
        <f t="shared" si="3"/>
        <v>1.4492753623188408</v>
      </c>
      <c r="F17" s="2">
        <f t="shared" si="4"/>
        <v>0.73043478260869577</v>
      </c>
    </row>
    <row r="19" spans="1:8" x14ac:dyDescent="0.4">
      <c r="A19" t="s">
        <v>30</v>
      </c>
      <c r="B19" t="s">
        <v>36</v>
      </c>
      <c r="C19" t="s">
        <v>37</v>
      </c>
      <c r="F19" t="s">
        <v>48</v>
      </c>
    </row>
    <row r="20" spans="1:8" x14ac:dyDescent="0.4">
      <c r="A20" t="s">
        <v>35</v>
      </c>
      <c r="B20" s="1">
        <v>7.8740199999999998E-4</v>
      </c>
      <c r="C20" s="1">
        <f>B20/C14</f>
        <v>1.00000054</v>
      </c>
      <c r="F20" s="1">
        <f>F8/B20</f>
        <v>4.6989974625413704E-2</v>
      </c>
    </row>
    <row r="21" spans="1:8" x14ac:dyDescent="0.4">
      <c r="A21" t="s">
        <v>32</v>
      </c>
      <c r="B21">
        <v>3.2573289999999998E-2</v>
      </c>
      <c r="C21" s="1">
        <f t="shared" ref="C21:C23" si="5">B21/C15</f>
        <v>1.0000000029999998</v>
      </c>
      <c r="F21" s="1">
        <f t="shared" ref="F21:F23" si="6">F9/B21</f>
        <v>1.4121999957634001E-2</v>
      </c>
    </row>
    <row r="22" spans="1:8" x14ac:dyDescent="0.4">
      <c r="A22" t="s">
        <v>31</v>
      </c>
      <c r="B22">
        <v>0.39840637450199201</v>
      </c>
      <c r="C22" s="1">
        <f t="shared" si="5"/>
        <v>0.99999999999999989</v>
      </c>
      <c r="F22" s="1">
        <f t="shared" si="6"/>
        <v>1.0040000000000001E-3</v>
      </c>
    </row>
    <row r="23" spans="1:8" x14ac:dyDescent="0.4">
      <c r="A23" t="s">
        <v>33</v>
      </c>
      <c r="B23">
        <v>1.4492753623188399</v>
      </c>
      <c r="C23" s="1">
        <f t="shared" si="5"/>
        <v>0.99999999999999933</v>
      </c>
      <c r="F23" s="1">
        <f t="shared" si="6"/>
        <v>9.6600000000000031E-5</v>
      </c>
    </row>
    <row r="26" spans="1:8" x14ac:dyDescent="0.4">
      <c r="A26" t="s">
        <v>45</v>
      </c>
    </row>
    <row r="27" spans="1:8" x14ac:dyDescent="0.4">
      <c r="A27" t="s">
        <v>38</v>
      </c>
      <c r="E27" t="s">
        <v>39</v>
      </c>
      <c r="F27" s="1">
        <v>7.8740199999999992E-6</v>
      </c>
      <c r="G27" t="s">
        <v>40</v>
      </c>
      <c r="H27" t="s">
        <v>41</v>
      </c>
    </row>
    <row r="28" spans="1:8" x14ac:dyDescent="0.4">
      <c r="A28" t="s">
        <v>42</v>
      </c>
      <c r="E28" t="s">
        <v>39</v>
      </c>
      <c r="F28">
        <v>3.257329E-4</v>
      </c>
      <c r="G28" t="s">
        <v>40</v>
      </c>
      <c r="H28" t="s">
        <v>41</v>
      </c>
    </row>
    <row r="29" spans="1:8" x14ac:dyDescent="0.4">
      <c r="A29" t="s">
        <v>43</v>
      </c>
      <c r="E29" t="s">
        <v>39</v>
      </c>
      <c r="F29">
        <v>3.9840637450199003E-3</v>
      </c>
      <c r="G29" t="s">
        <v>40</v>
      </c>
      <c r="H29" t="s">
        <v>41</v>
      </c>
    </row>
    <row r="30" spans="1:8" x14ac:dyDescent="0.4">
      <c r="A30" t="s">
        <v>44</v>
      </c>
      <c r="E30" t="s">
        <v>39</v>
      </c>
      <c r="F30">
        <v>1.4492753623188401E-2</v>
      </c>
      <c r="G30" t="s">
        <v>40</v>
      </c>
      <c r="H30" t="s">
        <v>41</v>
      </c>
    </row>
    <row r="35" spans="1:9" x14ac:dyDescent="0.4">
      <c r="A35" t="s">
        <v>46</v>
      </c>
      <c r="D35">
        <v>75</v>
      </c>
      <c r="E35" t="s">
        <v>49</v>
      </c>
      <c r="F35">
        <v>70</v>
      </c>
      <c r="G35" t="s">
        <v>49</v>
      </c>
      <c r="H35">
        <v>65</v>
      </c>
      <c r="I35" t="s">
        <v>49</v>
      </c>
    </row>
    <row r="36" spans="1:9" x14ac:dyDescent="0.4">
      <c r="A36" t="s">
        <v>1</v>
      </c>
      <c r="B36">
        <v>10</v>
      </c>
      <c r="C36" t="s">
        <v>50</v>
      </c>
      <c r="D36">
        <f>10*D35</f>
        <v>750</v>
      </c>
      <c r="E36" t="s">
        <v>2</v>
      </c>
      <c r="F36">
        <f>10*F35</f>
        <v>700</v>
      </c>
      <c r="G36" t="s">
        <v>2</v>
      </c>
      <c r="H36">
        <f>10*H35</f>
        <v>650</v>
      </c>
      <c r="I36" t="s">
        <v>2</v>
      </c>
    </row>
    <row r="37" spans="1:9" x14ac:dyDescent="0.4">
      <c r="A37" t="s">
        <v>3</v>
      </c>
      <c r="B37">
        <v>144000</v>
      </c>
      <c r="C37" t="s">
        <v>4</v>
      </c>
      <c r="D37">
        <v>144000</v>
      </c>
      <c r="E37" t="s">
        <v>4</v>
      </c>
      <c r="F37">
        <v>144000</v>
      </c>
      <c r="G37" t="s">
        <v>4</v>
      </c>
      <c r="H37">
        <v>144000</v>
      </c>
      <c r="I37" t="s">
        <v>4</v>
      </c>
    </row>
    <row r="38" spans="1:9" x14ac:dyDescent="0.4">
      <c r="A38" t="s">
        <v>1</v>
      </c>
      <c r="B38">
        <f>B36/B37</f>
        <v>6.9444444444444444E-5</v>
      </c>
      <c r="C38" t="s">
        <v>51</v>
      </c>
      <c r="D38">
        <f>D36/D37</f>
        <v>5.208333333333333E-3</v>
      </c>
      <c r="E38" t="s">
        <v>5</v>
      </c>
      <c r="F38">
        <f>F36/F37</f>
        <v>4.8611111111111112E-3</v>
      </c>
      <c r="G38" t="s">
        <v>5</v>
      </c>
      <c r="H38">
        <f>H36/H37</f>
        <v>4.5138888888888885E-3</v>
      </c>
      <c r="I38" t="s">
        <v>5</v>
      </c>
    </row>
    <row r="39" spans="1:9" x14ac:dyDescent="0.4">
      <c r="A39" t="s">
        <v>1</v>
      </c>
      <c r="B39">
        <f>B38*1000*1000</f>
        <v>69.444444444444443</v>
      </c>
      <c r="C39" t="s">
        <v>52</v>
      </c>
      <c r="D39">
        <f>D38*1000*1000</f>
        <v>5208.333333333333</v>
      </c>
      <c r="E39" t="s">
        <v>6</v>
      </c>
      <c r="F39">
        <f>F38*1000*1000</f>
        <v>4861.1111111111113</v>
      </c>
      <c r="G39" t="s">
        <v>6</v>
      </c>
      <c r="H39">
        <f>H38*1000*1000</f>
        <v>4513.8888888888887</v>
      </c>
      <c r="I39" t="s">
        <v>6</v>
      </c>
    </row>
    <row r="42" spans="1:9" x14ac:dyDescent="0.4">
      <c r="A42" t="s">
        <v>22</v>
      </c>
      <c r="B42" t="s">
        <v>19</v>
      </c>
      <c r="C42" t="s">
        <v>20</v>
      </c>
      <c r="D42" t="s">
        <v>21</v>
      </c>
      <c r="F42" t="s">
        <v>28</v>
      </c>
      <c r="G42" t="s">
        <v>34</v>
      </c>
      <c r="I42" t="s">
        <v>47</v>
      </c>
    </row>
    <row r="43" spans="1:9" x14ac:dyDescent="0.4">
      <c r="A43" t="s">
        <v>15</v>
      </c>
      <c r="B43">
        <v>81000</v>
      </c>
      <c r="C43" s="1">
        <v>0.16</v>
      </c>
      <c r="D43">
        <v>2300</v>
      </c>
      <c r="F43">
        <f>B43/1000000000</f>
        <v>8.1000000000000004E-5</v>
      </c>
      <c r="G43">
        <f>F43*3600</f>
        <v>0.29160000000000003</v>
      </c>
      <c r="I43" s="2">
        <f>C43/B43*1000000000</f>
        <v>1975.3086419753088</v>
      </c>
    </row>
    <row r="44" spans="1:9" x14ac:dyDescent="0.4">
      <c r="A44" t="s">
        <v>16</v>
      </c>
      <c r="B44">
        <v>530000</v>
      </c>
      <c r="C44" s="1">
        <v>4.4999999999999999E-4</v>
      </c>
      <c r="D44">
        <v>0.97</v>
      </c>
      <c r="F44">
        <f t="shared" ref="F44:F46" si="7">B44/1000000000</f>
        <v>5.2999999999999998E-4</v>
      </c>
      <c r="G44">
        <f t="shared" ref="G44:G46" si="8">F44*3600</f>
        <v>1.9079999999999999</v>
      </c>
      <c r="I44" s="2">
        <f t="shared" ref="I44:I46" si="9">C44/B44*1000000000</f>
        <v>0.84905660377358483</v>
      </c>
    </row>
    <row r="45" spans="1:9" x14ac:dyDescent="0.4">
      <c r="A45" t="s">
        <v>17</v>
      </c>
      <c r="B45">
        <v>760000</v>
      </c>
      <c r="C45" s="1">
        <v>1.1E-4</v>
      </c>
      <c r="D45">
        <v>0.16</v>
      </c>
      <c r="F45">
        <f t="shared" si="7"/>
        <v>7.6000000000000004E-4</v>
      </c>
      <c r="G45">
        <f t="shared" si="8"/>
        <v>2.7360000000000002</v>
      </c>
      <c r="I45" s="2">
        <f t="shared" si="9"/>
        <v>0.14473684210526316</v>
      </c>
    </row>
    <row r="46" spans="1:9" x14ac:dyDescent="0.4">
      <c r="A46" t="s">
        <v>18</v>
      </c>
      <c r="B46">
        <v>150000</v>
      </c>
      <c r="C46" s="1">
        <v>2.5000000000000001E-4</v>
      </c>
      <c r="D46">
        <v>1.8</v>
      </c>
      <c r="F46">
        <f t="shared" si="7"/>
        <v>1.4999999999999999E-4</v>
      </c>
      <c r="G46">
        <f t="shared" si="8"/>
        <v>0.53999999999999992</v>
      </c>
      <c r="I46" s="2">
        <f t="shared" si="9"/>
        <v>1.6666666666666667</v>
      </c>
    </row>
    <row r="48" spans="1:9" x14ac:dyDescent="0.4">
      <c r="A48" t="s">
        <v>23</v>
      </c>
      <c r="B48" t="s">
        <v>27</v>
      </c>
      <c r="C48" t="s">
        <v>29</v>
      </c>
    </row>
    <row r="49" spans="1:6" x14ac:dyDescent="0.4">
      <c r="A49" t="s">
        <v>15</v>
      </c>
      <c r="B49">
        <v>2290</v>
      </c>
      <c r="C49">
        <f>1/B49</f>
        <v>4.3668122270742359E-4</v>
      </c>
    </row>
    <row r="50" spans="1:6" x14ac:dyDescent="0.4">
      <c r="A50" t="s">
        <v>24</v>
      </c>
      <c r="B50">
        <v>67.3</v>
      </c>
      <c r="C50">
        <f t="shared" ref="C50:C52" si="10">1/B50</f>
        <v>1.485884101040119E-2</v>
      </c>
    </row>
    <row r="51" spans="1:6" x14ac:dyDescent="0.4">
      <c r="A51" t="s">
        <v>25</v>
      </c>
      <c r="B51">
        <v>0.16</v>
      </c>
      <c r="C51">
        <f t="shared" si="10"/>
        <v>6.25</v>
      </c>
    </row>
    <row r="52" spans="1:6" x14ac:dyDescent="0.4">
      <c r="A52" t="s">
        <v>26</v>
      </c>
      <c r="B52">
        <v>1.79</v>
      </c>
      <c r="C52">
        <f t="shared" si="10"/>
        <v>0.55865921787709494</v>
      </c>
    </row>
    <row r="54" spans="1:6" x14ac:dyDescent="0.4">
      <c r="A54" t="s">
        <v>30</v>
      </c>
      <c r="B54" t="s">
        <v>36</v>
      </c>
      <c r="C54" t="s">
        <v>37</v>
      </c>
      <c r="F54" t="s">
        <v>48</v>
      </c>
    </row>
    <row r="55" spans="1:6" x14ac:dyDescent="0.4">
      <c r="A55" t="s">
        <v>35</v>
      </c>
      <c r="B55" s="1">
        <v>4.3668100000000002E-4</v>
      </c>
      <c r="C55" s="1">
        <f>B55/C49</f>
        <v>0.99999948999999999</v>
      </c>
      <c r="F55" s="1">
        <f>F43/B55</f>
        <v>0.18549009459994825</v>
      </c>
    </row>
    <row r="56" spans="1:6" x14ac:dyDescent="0.4">
      <c r="A56" t="s">
        <v>32</v>
      </c>
      <c r="B56">
        <v>1.4858840999999999E-2</v>
      </c>
      <c r="C56" s="1">
        <f t="shared" ref="C56:C58" si="11">B56/C50</f>
        <v>0.99999999929999994</v>
      </c>
      <c r="F56" s="1">
        <f t="shared" ref="F56:F58" si="12">F44/B56</f>
        <v>3.5669000024968298E-2</v>
      </c>
    </row>
    <row r="57" spans="1:6" x14ac:dyDescent="0.4">
      <c r="A57" t="s">
        <v>31</v>
      </c>
      <c r="B57">
        <v>6.25</v>
      </c>
      <c r="C57" s="1">
        <f t="shared" si="11"/>
        <v>1</v>
      </c>
      <c r="F57" s="1">
        <f t="shared" si="12"/>
        <v>1.216E-4</v>
      </c>
    </row>
    <row r="58" spans="1:6" x14ac:dyDescent="0.4">
      <c r="A58" t="s">
        <v>33</v>
      </c>
      <c r="B58">
        <v>0.55865921787709405</v>
      </c>
      <c r="C58" s="1">
        <f t="shared" si="11"/>
        <v>0.99999999999999845</v>
      </c>
      <c r="F58" s="1">
        <f t="shared" si="12"/>
        <v>2.685000000000004E-4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82AC-4A68-4C2A-A048-138F12524966}">
  <dimension ref="A1:E126"/>
  <sheetViews>
    <sheetView topLeftCell="A67" workbookViewId="0">
      <selection sqref="A1:E126"/>
    </sheetView>
  </sheetViews>
  <sheetFormatPr defaultRowHeight="14.6" x14ac:dyDescent="0.4"/>
  <sheetData>
    <row r="1" spans="1:5" x14ac:dyDescent="0.4">
      <c r="A1" t="s">
        <v>13</v>
      </c>
      <c r="B1" t="s">
        <v>10</v>
      </c>
      <c r="C1" t="s">
        <v>8</v>
      </c>
      <c r="D1" t="s">
        <v>9</v>
      </c>
      <c r="E1" t="s">
        <v>14</v>
      </c>
    </row>
    <row r="2" spans="1:5" x14ac:dyDescent="0.4">
      <c r="A2" t="s">
        <v>7</v>
      </c>
      <c r="B2" t="s">
        <v>11</v>
      </c>
      <c r="C2">
        <v>-11.007904783629</v>
      </c>
      <c r="D2">
        <v>4.7405785605158099</v>
      </c>
      <c r="E2">
        <f>(C2/365+70)*24*365</f>
        <v>612935.81028519303</v>
      </c>
    </row>
    <row r="3" spans="1:5" x14ac:dyDescent="0.4">
      <c r="A3" t="s">
        <v>7</v>
      </c>
      <c r="B3" t="s">
        <v>11</v>
      </c>
      <c r="C3">
        <v>-11.103492669434599</v>
      </c>
      <c r="D3">
        <v>2.9867964546180699</v>
      </c>
      <c r="E3">
        <f t="shared" ref="E3:E66" si="0">(C3/365+70)*24*365</f>
        <v>612933.51617593353</v>
      </c>
    </row>
    <row r="4" spans="1:5" x14ac:dyDescent="0.4">
      <c r="A4" t="s">
        <v>7</v>
      </c>
      <c r="B4" t="s">
        <v>11</v>
      </c>
      <c r="C4">
        <v>-11.187433959446301</v>
      </c>
      <c r="D4">
        <v>2.4145005461939899</v>
      </c>
      <c r="E4">
        <f t="shared" si="0"/>
        <v>612931.5015849733</v>
      </c>
    </row>
    <row r="5" spans="1:5" x14ac:dyDescent="0.4">
      <c r="A5" t="s">
        <v>7</v>
      </c>
      <c r="B5" t="s">
        <v>11</v>
      </c>
      <c r="C5">
        <v>-11.141030299124701</v>
      </c>
      <c r="D5">
        <v>2.0685722816896499</v>
      </c>
      <c r="E5">
        <f t="shared" si="0"/>
        <v>612932.61527282104</v>
      </c>
    </row>
    <row r="6" spans="1:5" x14ac:dyDescent="0.4">
      <c r="A6" t="s">
        <v>7</v>
      </c>
      <c r="B6" t="s">
        <v>11</v>
      </c>
      <c r="C6">
        <v>-11.2181790656687</v>
      </c>
      <c r="D6">
        <v>1.78714835837734</v>
      </c>
      <c r="E6">
        <f t="shared" si="0"/>
        <v>612930.76370242389</v>
      </c>
    </row>
    <row r="7" spans="1:5" x14ac:dyDescent="0.4">
      <c r="A7" t="s">
        <v>7</v>
      </c>
      <c r="B7" t="s">
        <v>11</v>
      </c>
      <c r="C7">
        <v>-11.332579460914699</v>
      </c>
      <c r="D7">
        <v>1.54509215749729</v>
      </c>
      <c r="E7">
        <f t="shared" si="0"/>
        <v>612928.018092938</v>
      </c>
    </row>
    <row r="8" spans="1:5" x14ac:dyDescent="0.4">
      <c r="A8" t="s">
        <v>7</v>
      </c>
      <c r="B8" t="s">
        <v>11</v>
      </c>
      <c r="C8">
        <v>-10.871462451118401</v>
      </c>
      <c r="D8">
        <v>8.56228596124296</v>
      </c>
      <c r="E8">
        <f t="shared" si="0"/>
        <v>612939.08490117313</v>
      </c>
    </row>
    <row r="9" spans="1:5" x14ac:dyDescent="0.4">
      <c r="A9" t="s">
        <v>7</v>
      </c>
      <c r="B9" t="s">
        <v>11</v>
      </c>
      <c r="C9">
        <v>-10.9619221803176</v>
      </c>
      <c r="D9">
        <v>6.4939365728644098</v>
      </c>
      <c r="E9">
        <f t="shared" si="0"/>
        <v>612936.91386767232</v>
      </c>
    </row>
    <row r="10" spans="1:5" x14ac:dyDescent="0.4">
      <c r="A10" t="s">
        <v>7</v>
      </c>
      <c r="B10" t="s">
        <v>11</v>
      </c>
      <c r="C10">
        <v>-11.075893574081499</v>
      </c>
      <c r="D10">
        <v>3.9129273303141998</v>
      </c>
      <c r="E10">
        <f t="shared" si="0"/>
        <v>612934.1785542221</v>
      </c>
    </row>
    <row r="11" spans="1:5" x14ac:dyDescent="0.4">
      <c r="A11" t="s">
        <v>7</v>
      </c>
      <c r="B11" t="s">
        <v>11</v>
      </c>
      <c r="C11">
        <v>-10.9815132480035</v>
      </c>
      <c r="D11">
        <v>5.3610024393160201</v>
      </c>
      <c r="E11">
        <f t="shared" si="0"/>
        <v>612936.44368204789</v>
      </c>
    </row>
    <row r="12" spans="1:5" x14ac:dyDescent="0.4">
      <c r="A12" t="s">
        <v>7</v>
      </c>
      <c r="B12" t="s">
        <v>11</v>
      </c>
      <c r="C12">
        <v>-10.6290510778885</v>
      </c>
      <c r="D12">
        <v>14.781604372459499</v>
      </c>
      <c r="E12">
        <f t="shared" si="0"/>
        <v>612944.90277413069</v>
      </c>
    </row>
    <row r="13" spans="1:5" x14ac:dyDescent="0.4">
      <c r="A13" t="s">
        <v>7</v>
      </c>
      <c r="B13" t="s">
        <v>11</v>
      </c>
      <c r="C13">
        <v>-10.719107341408</v>
      </c>
      <c r="D13">
        <v>11.255236310263999</v>
      </c>
      <c r="E13">
        <f t="shared" si="0"/>
        <v>612942.74142380618</v>
      </c>
    </row>
    <row r="14" spans="1:5" x14ac:dyDescent="0.4">
      <c r="A14" t="s">
        <v>7</v>
      </c>
      <c r="B14" t="s">
        <v>11</v>
      </c>
      <c r="C14">
        <v>-10.2923223668934</v>
      </c>
      <c r="D14">
        <v>19.008934711651602</v>
      </c>
      <c r="E14">
        <f t="shared" si="0"/>
        <v>612952.98426319449</v>
      </c>
    </row>
    <row r="15" spans="1:5" x14ac:dyDescent="0.4">
      <c r="A15" t="s">
        <v>7</v>
      </c>
      <c r="B15" t="s">
        <v>11</v>
      </c>
      <c r="C15">
        <v>-10.0597678134324</v>
      </c>
      <c r="D15">
        <v>24.326189560365702</v>
      </c>
      <c r="E15">
        <f t="shared" si="0"/>
        <v>612958.56557247764</v>
      </c>
    </row>
    <row r="16" spans="1:5" x14ac:dyDescent="0.4">
      <c r="A16" t="s">
        <v>7</v>
      </c>
      <c r="B16" t="s">
        <v>11</v>
      </c>
      <c r="C16">
        <v>-9.7454884776175597</v>
      </c>
      <c r="D16">
        <v>30.762703621841698</v>
      </c>
      <c r="E16">
        <f t="shared" si="0"/>
        <v>612966.10827653727</v>
      </c>
    </row>
    <row r="17" spans="1:5" x14ac:dyDescent="0.4">
      <c r="A17" t="s">
        <v>7</v>
      </c>
      <c r="B17" t="s">
        <v>11</v>
      </c>
      <c r="C17">
        <v>-9.3437857897606307</v>
      </c>
      <c r="D17">
        <v>35.987651961832597</v>
      </c>
      <c r="E17">
        <f t="shared" si="0"/>
        <v>612975.74914104573</v>
      </c>
    </row>
    <row r="18" spans="1:5" x14ac:dyDescent="0.4">
      <c r="A18" t="s">
        <v>7</v>
      </c>
      <c r="B18" t="s">
        <v>11</v>
      </c>
      <c r="C18">
        <v>-8.7058987192352006</v>
      </c>
      <c r="D18">
        <v>47.4598498909574</v>
      </c>
      <c r="E18">
        <f t="shared" si="0"/>
        <v>612991.0584307384</v>
      </c>
    </row>
    <row r="19" spans="1:5" x14ac:dyDescent="0.4">
      <c r="A19" t="s">
        <v>7</v>
      </c>
      <c r="B19" t="s">
        <v>11</v>
      </c>
      <c r="C19">
        <v>-7.6889983725766404</v>
      </c>
      <c r="D19">
        <v>58.640574894665598</v>
      </c>
      <c r="E19">
        <f t="shared" si="0"/>
        <v>613015.46403905808</v>
      </c>
    </row>
    <row r="20" spans="1:5" x14ac:dyDescent="0.4">
      <c r="A20" t="s">
        <v>7</v>
      </c>
      <c r="B20" t="s">
        <v>11</v>
      </c>
      <c r="C20">
        <v>-4.9912225519348503</v>
      </c>
      <c r="D20">
        <v>73.407837643728499</v>
      </c>
      <c r="E20">
        <f t="shared" si="0"/>
        <v>613080.21065875364</v>
      </c>
    </row>
    <row r="21" spans="1:5" x14ac:dyDescent="0.4">
      <c r="A21" t="s">
        <v>7</v>
      </c>
      <c r="B21" t="s">
        <v>11</v>
      </c>
      <c r="C21">
        <v>-9.6703409926703898E-3</v>
      </c>
      <c r="D21">
        <v>77.190927048465895</v>
      </c>
      <c r="E21">
        <f t="shared" si="0"/>
        <v>613199.76791181625</v>
      </c>
    </row>
    <row r="22" spans="1:5" x14ac:dyDescent="0.4">
      <c r="A22" t="s">
        <v>7</v>
      </c>
      <c r="B22" t="s">
        <v>11</v>
      </c>
      <c r="C22">
        <v>1.1702218604589301</v>
      </c>
      <c r="D22">
        <v>75.689739151732596</v>
      </c>
      <c r="E22">
        <f t="shared" si="0"/>
        <v>613228.08532465098</v>
      </c>
    </row>
    <row r="23" spans="1:5" x14ac:dyDescent="0.4">
      <c r="A23" t="s">
        <v>7</v>
      </c>
      <c r="B23" t="s">
        <v>11</v>
      </c>
      <c r="C23">
        <v>4.4592900989779398</v>
      </c>
      <c r="D23">
        <v>70.121688090840095</v>
      </c>
      <c r="E23">
        <f t="shared" si="0"/>
        <v>613307.02296237543</v>
      </c>
    </row>
    <row r="24" spans="1:5" x14ac:dyDescent="0.4">
      <c r="A24" t="s">
        <v>7</v>
      </c>
      <c r="B24" t="s">
        <v>11</v>
      </c>
      <c r="C24">
        <v>5.8240348140830704</v>
      </c>
      <c r="D24">
        <v>67.581808172626296</v>
      </c>
      <c r="E24">
        <f t="shared" si="0"/>
        <v>613339.77683553798</v>
      </c>
    </row>
    <row r="25" spans="1:5" x14ac:dyDescent="0.4">
      <c r="A25" t="s">
        <v>7</v>
      </c>
      <c r="B25" t="s">
        <v>11</v>
      </c>
      <c r="C25">
        <v>7.1886495287390604</v>
      </c>
      <c r="D25">
        <v>65.051115761857204</v>
      </c>
      <c r="E25">
        <f t="shared" si="0"/>
        <v>613372.5275886897</v>
      </c>
    </row>
    <row r="26" spans="1:5" x14ac:dyDescent="0.4">
      <c r="A26" t="s">
        <v>7</v>
      </c>
      <c r="B26" t="s">
        <v>11</v>
      </c>
      <c r="C26">
        <v>8.5530692427213406</v>
      </c>
      <c r="D26">
        <v>62.495815557428003</v>
      </c>
      <c r="E26">
        <f t="shared" si="0"/>
        <v>613405.27366182534</v>
      </c>
    </row>
    <row r="27" spans="1:5" x14ac:dyDescent="0.4">
      <c r="A27" t="s">
        <v>7</v>
      </c>
      <c r="B27" t="s">
        <v>11</v>
      </c>
      <c r="C27">
        <v>9.9174889567036004</v>
      </c>
      <c r="D27">
        <v>60.040891173740498</v>
      </c>
      <c r="E27">
        <f t="shared" si="0"/>
        <v>613438.01973496086</v>
      </c>
    </row>
    <row r="28" spans="1:5" x14ac:dyDescent="0.4">
      <c r="A28" t="s">
        <v>7</v>
      </c>
      <c r="B28" t="s">
        <v>11</v>
      </c>
      <c r="C28">
        <v>11.281778670236699</v>
      </c>
      <c r="D28">
        <v>57.609063815583397</v>
      </c>
      <c r="E28">
        <f t="shared" si="0"/>
        <v>613470.76268808579</v>
      </c>
    </row>
    <row r="29" spans="1:5" x14ac:dyDescent="0.4">
      <c r="A29" t="s">
        <v>7</v>
      </c>
      <c r="B29" t="s">
        <v>11</v>
      </c>
      <c r="C29">
        <v>12.6465883855664</v>
      </c>
      <c r="D29">
        <v>55.557732618154297</v>
      </c>
      <c r="E29">
        <f t="shared" si="0"/>
        <v>613503.51812125358</v>
      </c>
    </row>
    <row r="30" spans="1:5" x14ac:dyDescent="0.4">
      <c r="A30" t="s">
        <v>7</v>
      </c>
      <c r="B30" t="s">
        <v>11</v>
      </c>
      <c r="C30">
        <v>14.010618098201199</v>
      </c>
      <c r="D30">
        <v>53.172024655734603</v>
      </c>
      <c r="E30">
        <f t="shared" si="0"/>
        <v>613536.25483435683</v>
      </c>
    </row>
    <row r="31" spans="1:5" x14ac:dyDescent="0.4">
      <c r="A31" t="s">
        <v>7</v>
      </c>
      <c r="B31" t="s">
        <v>11</v>
      </c>
      <c r="C31">
        <v>15.374387809937801</v>
      </c>
      <c r="D31">
        <v>50.759446505642501</v>
      </c>
      <c r="E31">
        <f t="shared" si="0"/>
        <v>613568.98530743853</v>
      </c>
    </row>
    <row r="32" spans="1:5" x14ac:dyDescent="0.4">
      <c r="A32" t="s">
        <v>7</v>
      </c>
      <c r="B32" t="s">
        <v>11</v>
      </c>
      <c r="C32">
        <v>16.738612523246399</v>
      </c>
      <c r="D32">
        <v>48.672574080498499</v>
      </c>
      <c r="E32">
        <f t="shared" si="0"/>
        <v>613601.72670055798</v>
      </c>
    </row>
    <row r="33" spans="1:5" x14ac:dyDescent="0.4">
      <c r="A33" t="s">
        <v>7</v>
      </c>
      <c r="B33" t="s">
        <v>11</v>
      </c>
      <c r="C33">
        <v>18.1027072361058</v>
      </c>
      <c r="D33">
        <v>46.612162292356402</v>
      </c>
      <c r="E33">
        <f t="shared" si="0"/>
        <v>613634.46497366659</v>
      </c>
    </row>
    <row r="34" spans="1:5" x14ac:dyDescent="0.4">
      <c r="A34" t="s">
        <v>7</v>
      </c>
      <c r="B34" t="s">
        <v>11</v>
      </c>
      <c r="C34">
        <v>19.466931949414299</v>
      </c>
      <c r="D34">
        <v>44.695797105958199</v>
      </c>
      <c r="E34">
        <f t="shared" si="0"/>
        <v>613667.20636678592</v>
      </c>
    </row>
    <row r="35" spans="1:5" x14ac:dyDescent="0.4">
      <c r="A35" t="s">
        <v>7</v>
      </c>
      <c r="B35" t="s">
        <v>11</v>
      </c>
      <c r="C35">
        <v>20.8308966618246</v>
      </c>
      <c r="D35">
        <v>42.7493110580672</v>
      </c>
      <c r="E35">
        <f t="shared" si="0"/>
        <v>613699.94151988381</v>
      </c>
    </row>
    <row r="36" spans="1:5" x14ac:dyDescent="0.4">
      <c r="A36" t="s">
        <v>7</v>
      </c>
      <c r="B36" t="s">
        <v>11</v>
      </c>
      <c r="C36">
        <v>22.195121375133201</v>
      </c>
      <c r="D36">
        <v>40.991759221266399</v>
      </c>
      <c r="E36">
        <f t="shared" si="0"/>
        <v>613732.68291300326</v>
      </c>
    </row>
    <row r="37" spans="1:5" x14ac:dyDescent="0.4">
      <c r="A37" t="s">
        <v>7</v>
      </c>
      <c r="B37" t="s">
        <v>11</v>
      </c>
      <c r="C37">
        <v>23.5593460884417</v>
      </c>
      <c r="D37">
        <v>39.306465588927601</v>
      </c>
      <c r="E37">
        <f t="shared" si="0"/>
        <v>613765.42430612259</v>
      </c>
    </row>
    <row r="38" spans="1:5" x14ac:dyDescent="0.4">
      <c r="A38" t="s">
        <v>7</v>
      </c>
      <c r="B38" t="s">
        <v>11</v>
      </c>
      <c r="C38">
        <v>24.9235058015257</v>
      </c>
      <c r="D38">
        <v>37.666492459439297</v>
      </c>
      <c r="E38">
        <f t="shared" si="0"/>
        <v>613798.16413923667</v>
      </c>
    </row>
    <row r="39" spans="1:5" x14ac:dyDescent="0.4">
      <c r="A39" t="s">
        <v>7</v>
      </c>
      <c r="B39" t="s">
        <v>11</v>
      </c>
      <c r="C39">
        <v>26.287665514609699</v>
      </c>
      <c r="D39">
        <v>36.094943489313799</v>
      </c>
      <c r="E39">
        <f t="shared" si="0"/>
        <v>613830.90397235064</v>
      </c>
    </row>
    <row r="40" spans="1:5" x14ac:dyDescent="0.4">
      <c r="A40" t="s">
        <v>7</v>
      </c>
      <c r="B40" t="s">
        <v>11</v>
      </c>
      <c r="C40">
        <v>27.651760227469101</v>
      </c>
      <c r="D40">
        <v>34.566969091767</v>
      </c>
      <c r="E40">
        <f t="shared" si="0"/>
        <v>613863.64224545925</v>
      </c>
    </row>
    <row r="41" spans="1:5" x14ac:dyDescent="0.4">
      <c r="A41" t="s">
        <v>7</v>
      </c>
      <c r="B41" t="s">
        <v>11</v>
      </c>
      <c r="C41">
        <v>29.015919940553101</v>
      </c>
      <c r="D41">
        <v>33.124740704427097</v>
      </c>
      <c r="E41">
        <f t="shared" si="0"/>
        <v>613896.38207857334</v>
      </c>
    </row>
    <row r="42" spans="1:5" x14ac:dyDescent="0.4">
      <c r="A42" t="s">
        <v>7</v>
      </c>
      <c r="B42" t="s">
        <v>11</v>
      </c>
      <c r="C42">
        <v>30.3800796536371</v>
      </c>
      <c r="D42">
        <v>31.7426860255697</v>
      </c>
      <c r="E42">
        <f t="shared" si="0"/>
        <v>613929.12191168731</v>
      </c>
    </row>
    <row r="43" spans="1:5" x14ac:dyDescent="0.4">
      <c r="A43" t="s">
        <v>7</v>
      </c>
      <c r="B43" t="s">
        <v>11</v>
      </c>
      <c r="C43">
        <v>31.744174366496502</v>
      </c>
      <c r="D43">
        <v>30.3989517828274</v>
      </c>
      <c r="E43">
        <f t="shared" si="0"/>
        <v>613961.86018479592</v>
      </c>
    </row>
    <row r="44" spans="1:5" x14ac:dyDescent="0.4">
      <c r="A44" t="s">
        <v>7</v>
      </c>
      <c r="B44" t="s">
        <v>11</v>
      </c>
      <c r="C44">
        <v>33.1082690793559</v>
      </c>
      <c r="D44">
        <v>29.112100619030102</v>
      </c>
      <c r="E44">
        <f t="shared" si="0"/>
        <v>613994.59845790465</v>
      </c>
    </row>
    <row r="45" spans="1:5" x14ac:dyDescent="0.4">
      <c r="A45" t="s">
        <v>7</v>
      </c>
      <c r="B45" t="s">
        <v>11</v>
      </c>
      <c r="C45">
        <v>34.472363792215297</v>
      </c>
      <c r="D45">
        <v>27.8797245545585</v>
      </c>
      <c r="E45">
        <f t="shared" si="0"/>
        <v>614027.33673101326</v>
      </c>
    </row>
    <row r="46" spans="1:5" x14ac:dyDescent="0.4">
      <c r="A46" t="s">
        <v>7</v>
      </c>
      <c r="B46" t="s">
        <v>11</v>
      </c>
      <c r="C46">
        <v>35.836588505523899</v>
      </c>
      <c r="D46">
        <v>26.733505822897399</v>
      </c>
      <c r="E46">
        <f t="shared" si="0"/>
        <v>614060.07812413259</v>
      </c>
    </row>
    <row r="47" spans="1:5" x14ac:dyDescent="0.4">
      <c r="A47" t="s">
        <v>7</v>
      </c>
      <c r="B47" t="s">
        <v>11</v>
      </c>
      <c r="C47">
        <v>37.201138219955297</v>
      </c>
      <c r="D47">
        <v>25.716070488345299</v>
      </c>
      <c r="E47">
        <f t="shared" si="0"/>
        <v>614092.82731727895</v>
      </c>
    </row>
    <row r="48" spans="1:5" x14ac:dyDescent="0.4">
      <c r="A48" t="s">
        <v>7</v>
      </c>
      <c r="B48" t="s">
        <v>11</v>
      </c>
      <c r="C48">
        <v>38.938074220957397</v>
      </c>
      <c r="D48">
        <v>24.533642745996801</v>
      </c>
      <c r="E48">
        <f t="shared" si="0"/>
        <v>614134.51378130296</v>
      </c>
    </row>
    <row r="49" spans="1:5" x14ac:dyDescent="0.4">
      <c r="A49" t="s">
        <v>7</v>
      </c>
      <c r="B49" t="s">
        <v>11</v>
      </c>
      <c r="C49">
        <v>40.301063929999103</v>
      </c>
      <c r="D49">
        <v>23.242385799489199</v>
      </c>
      <c r="E49">
        <f t="shared" si="0"/>
        <v>614167.22553431988</v>
      </c>
    </row>
    <row r="50" spans="1:5" x14ac:dyDescent="0.4">
      <c r="A50" t="s">
        <v>7</v>
      </c>
      <c r="B50" t="s">
        <v>11</v>
      </c>
      <c r="C50">
        <v>41.665223643083003</v>
      </c>
      <c r="D50">
        <v>22.272649965822701</v>
      </c>
      <c r="E50">
        <f t="shared" si="0"/>
        <v>614199.96536743396</v>
      </c>
    </row>
    <row r="51" spans="1:5" x14ac:dyDescent="0.4">
      <c r="A51" t="s">
        <v>7</v>
      </c>
      <c r="B51" t="s">
        <v>11</v>
      </c>
      <c r="C51">
        <v>43.0293183559425</v>
      </c>
      <c r="D51">
        <v>21.329802142182999</v>
      </c>
      <c r="E51">
        <f t="shared" si="0"/>
        <v>614232.70364054269</v>
      </c>
    </row>
    <row r="52" spans="1:5" x14ac:dyDescent="0.4">
      <c r="A52" t="s">
        <v>7</v>
      </c>
      <c r="B52" t="s">
        <v>11</v>
      </c>
      <c r="C52">
        <v>44.3934780690265</v>
      </c>
      <c r="D52">
        <v>20.439864523870799</v>
      </c>
      <c r="E52">
        <f t="shared" si="0"/>
        <v>614265.44347365655</v>
      </c>
    </row>
    <row r="53" spans="1:5" x14ac:dyDescent="0.4">
      <c r="A53" t="s">
        <v>7</v>
      </c>
      <c r="B53" t="s">
        <v>11</v>
      </c>
      <c r="C53">
        <v>45.757702782335002</v>
      </c>
      <c r="D53">
        <v>19.599520655191998</v>
      </c>
      <c r="E53">
        <f t="shared" si="0"/>
        <v>614298.18486677611</v>
      </c>
    </row>
    <row r="54" spans="1:5" x14ac:dyDescent="0.4">
      <c r="A54" t="s">
        <v>7</v>
      </c>
      <c r="B54" t="s">
        <v>11</v>
      </c>
      <c r="C54">
        <v>47.121732494969898</v>
      </c>
      <c r="D54">
        <v>18.7578964512658</v>
      </c>
      <c r="E54">
        <f t="shared" si="0"/>
        <v>614330.92157987936</v>
      </c>
    </row>
    <row r="55" spans="1:5" x14ac:dyDescent="0.4">
      <c r="A55" t="s">
        <v>7</v>
      </c>
      <c r="B55" t="s">
        <v>11</v>
      </c>
      <c r="C55">
        <v>48.485827207829303</v>
      </c>
      <c r="D55">
        <v>17.963835489850101</v>
      </c>
      <c r="E55">
        <f t="shared" si="0"/>
        <v>614363.65985298797</v>
      </c>
    </row>
    <row r="56" spans="1:5" x14ac:dyDescent="0.4">
      <c r="A56" t="s">
        <v>7</v>
      </c>
      <c r="B56" t="s">
        <v>11</v>
      </c>
      <c r="C56">
        <v>49.849921920688701</v>
      </c>
      <c r="D56">
        <v>17.203388788545201</v>
      </c>
      <c r="E56">
        <f t="shared" si="0"/>
        <v>614396.39812609658</v>
      </c>
    </row>
    <row r="57" spans="1:5" x14ac:dyDescent="0.4">
      <c r="A57" t="s">
        <v>7</v>
      </c>
      <c r="B57" t="s">
        <v>11</v>
      </c>
      <c r="C57">
        <v>51.2140816337727</v>
      </c>
      <c r="D57">
        <v>16.4856164086927</v>
      </c>
      <c r="E57">
        <f t="shared" si="0"/>
        <v>614429.13795921055</v>
      </c>
    </row>
    <row r="58" spans="1:5" x14ac:dyDescent="0.4">
      <c r="A58" t="s">
        <v>7</v>
      </c>
      <c r="B58" t="s">
        <v>11</v>
      </c>
      <c r="C58">
        <v>52.5782413468567</v>
      </c>
      <c r="D58">
        <v>15.797791453479199</v>
      </c>
      <c r="E58">
        <f t="shared" si="0"/>
        <v>614461.87779232464</v>
      </c>
    </row>
    <row r="59" spans="1:5" x14ac:dyDescent="0.4">
      <c r="A59" t="s">
        <v>7</v>
      </c>
      <c r="B59" t="s">
        <v>11</v>
      </c>
      <c r="C59">
        <v>53.942336059716098</v>
      </c>
      <c r="D59">
        <v>15.1290379233387</v>
      </c>
      <c r="E59">
        <f t="shared" si="0"/>
        <v>614494.61606543313</v>
      </c>
    </row>
    <row r="60" spans="1:5" x14ac:dyDescent="0.4">
      <c r="A60" t="s">
        <v>7</v>
      </c>
      <c r="B60" t="s">
        <v>11</v>
      </c>
      <c r="C60">
        <v>55.3065607730247</v>
      </c>
      <c r="D60">
        <v>14.5070379955486</v>
      </c>
      <c r="E60">
        <f t="shared" si="0"/>
        <v>614527.35745855269</v>
      </c>
    </row>
    <row r="61" spans="1:5" x14ac:dyDescent="0.4">
      <c r="A61" t="s">
        <v>7</v>
      </c>
      <c r="B61" t="s">
        <v>11</v>
      </c>
      <c r="C61">
        <v>56.670655485884097</v>
      </c>
      <c r="D61">
        <v>13.892924757000401</v>
      </c>
      <c r="E61">
        <f t="shared" si="0"/>
        <v>614560.09573166131</v>
      </c>
    </row>
    <row r="62" spans="1:5" x14ac:dyDescent="0.4">
      <c r="A62" t="s">
        <v>7</v>
      </c>
      <c r="B62" t="s">
        <v>11</v>
      </c>
      <c r="C62">
        <v>58.034815198967998</v>
      </c>
      <c r="D62">
        <v>13.3132739807194</v>
      </c>
      <c r="E62">
        <f t="shared" si="0"/>
        <v>614592.83556477528</v>
      </c>
    </row>
    <row r="63" spans="1:5" x14ac:dyDescent="0.4">
      <c r="A63" t="s">
        <v>7</v>
      </c>
      <c r="B63" t="s">
        <v>11</v>
      </c>
      <c r="C63">
        <v>59.398974912051997</v>
      </c>
      <c r="D63">
        <v>12.7578078184287</v>
      </c>
      <c r="E63">
        <f t="shared" si="0"/>
        <v>614625.57539788936</v>
      </c>
    </row>
    <row r="64" spans="1:5" x14ac:dyDescent="0.4">
      <c r="A64" t="s">
        <v>7</v>
      </c>
      <c r="B64" t="s">
        <v>11</v>
      </c>
      <c r="C64">
        <v>60.515465198025503</v>
      </c>
      <c r="D64">
        <v>12.3640522045495</v>
      </c>
      <c r="E64">
        <f t="shared" si="0"/>
        <v>614652.37116475264</v>
      </c>
    </row>
    <row r="65" spans="1:5" x14ac:dyDescent="0.4">
      <c r="A65" t="s">
        <v>7</v>
      </c>
      <c r="B65" t="s">
        <v>11</v>
      </c>
      <c r="C65">
        <v>62.002935908569597</v>
      </c>
      <c r="D65">
        <v>11.721398429940701</v>
      </c>
      <c r="E65">
        <f t="shared" si="0"/>
        <v>614688.07046180568</v>
      </c>
    </row>
    <row r="66" spans="1:5" x14ac:dyDescent="0.4">
      <c r="A66" t="s">
        <v>7</v>
      </c>
      <c r="B66" t="s">
        <v>11</v>
      </c>
      <c r="C66">
        <v>63.863320336078097</v>
      </c>
      <c r="D66">
        <v>11.077667967546599</v>
      </c>
      <c r="E66">
        <f t="shared" si="0"/>
        <v>614732.71968806582</v>
      </c>
    </row>
    <row r="67" spans="1:5" x14ac:dyDescent="0.4">
      <c r="A67" t="s">
        <v>7</v>
      </c>
      <c r="B67" t="s">
        <v>11</v>
      </c>
      <c r="C67">
        <v>65.227480049162097</v>
      </c>
      <c r="D67">
        <v>10.6154773957927</v>
      </c>
      <c r="E67">
        <f t="shared" ref="E67:E126" si="1">(C67/365+70)*24*365</f>
        <v>614765.4595211799</v>
      </c>
    </row>
    <row r="68" spans="1:5" x14ac:dyDescent="0.4">
      <c r="A68" t="s">
        <v>7</v>
      </c>
      <c r="B68" t="s">
        <v>11</v>
      </c>
      <c r="C68">
        <v>66.591574762021494</v>
      </c>
      <c r="D68">
        <v>10.166102050924501</v>
      </c>
      <c r="E68">
        <f t="shared" si="1"/>
        <v>614798.19779428851</v>
      </c>
    </row>
    <row r="69" spans="1:5" x14ac:dyDescent="0.4">
      <c r="A69" t="s">
        <v>7</v>
      </c>
      <c r="B69" t="s">
        <v>11</v>
      </c>
      <c r="C69">
        <v>67.955734475105501</v>
      </c>
      <c r="D69">
        <v>9.7419444996069</v>
      </c>
      <c r="E69">
        <f t="shared" si="1"/>
        <v>614830.93762740248</v>
      </c>
    </row>
    <row r="70" spans="1:5" x14ac:dyDescent="0.4">
      <c r="A70" t="s">
        <v>7</v>
      </c>
      <c r="B70" t="s">
        <v>11</v>
      </c>
      <c r="C70">
        <v>69.319959188414003</v>
      </c>
      <c r="D70">
        <v>9.3414240695574193</v>
      </c>
      <c r="E70">
        <f t="shared" si="1"/>
        <v>614863.67902052193</v>
      </c>
    </row>
    <row r="71" spans="1:5" x14ac:dyDescent="0.4">
      <c r="A71" t="s">
        <v>7</v>
      </c>
      <c r="B71" t="s">
        <v>11</v>
      </c>
      <c r="C71">
        <v>70.684053901273401</v>
      </c>
      <c r="D71">
        <v>8.9459820648029993</v>
      </c>
      <c r="E71">
        <f t="shared" si="1"/>
        <v>614896.41729363054</v>
      </c>
    </row>
    <row r="72" spans="1:5" x14ac:dyDescent="0.4">
      <c r="A72" t="s">
        <v>7</v>
      </c>
      <c r="B72" t="s">
        <v>11</v>
      </c>
      <c r="C72">
        <v>72.048148614132799</v>
      </c>
      <c r="D72">
        <v>8.5672799465969192</v>
      </c>
      <c r="E72">
        <f t="shared" si="1"/>
        <v>614929.15556673915</v>
      </c>
    </row>
    <row r="73" spans="1:5" x14ac:dyDescent="0.4">
      <c r="A73" t="s">
        <v>7</v>
      </c>
      <c r="B73" t="s">
        <v>11</v>
      </c>
      <c r="C73">
        <v>73.412373327441401</v>
      </c>
      <c r="D73">
        <v>8.2150534841382594</v>
      </c>
      <c r="E73">
        <f t="shared" si="1"/>
        <v>614961.8969598586</v>
      </c>
    </row>
    <row r="74" spans="1:5" x14ac:dyDescent="0.4">
      <c r="A74" t="s">
        <v>7</v>
      </c>
      <c r="B74" t="s">
        <v>11</v>
      </c>
      <c r="C74">
        <v>74.776468040300799</v>
      </c>
      <c r="D74">
        <v>7.8672931004169797</v>
      </c>
      <c r="E74">
        <f t="shared" si="1"/>
        <v>614994.63523296721</v>
      </c>
    </row>
    <row r="75" spans="1:5" x14ac:dyDescent="0.4">
      <c r="A75" t="s">
        <v>7</v>
      </c>
      <c r="B75" t="s">
        <v>11</v>
      </c>
      <c r="C75">
        <v>76.140497752935701</v>
      </c>
      <c r="D75">
        <v>7.5294631907380998</v>
      </c>
      <c r="E75">
        <f t="shared" si="1"/>
        <v>615027.37194607046</v>
      </c>
    </row>
    <row r="76" spans="1:5" x14ac:dyDescent="0.4">
      <c r="A76" t="s">
        <v>7</v>
      </c>
      <c r="B76" t="s">
        <v>11</v>
      </c>
      <c r="C76">
        <v>77.504722466244203</v>
      </c>
      <c r="D76">
        <v>7.2199044742705896</v>
      </c>
      <c r="E76">
        <f t="shared" si="1"/>
        <v>615060.11333918991</v>
      </c>
    </row>
    <row r="77" spans="1:5" x14ac:dyDescent="0.4">
      <c r="A77" t="s">
        <v>7</v>
      </c>
      <c r="B77" t="s">
        <v>11</v>
      </c>
      <c r="C77">
        <v>78.868882179328196</v>
      </c>
      <c r="D77">
        <v>6.9186703348517797</v>
      </c>
      <c r="E77">
        <f t="shared" si="1"/>
        <v>615092.85317230388</v>
      </c>
    </row>
    <row r="78" spans="1:5" x14ac:dyDescent="0.4">
      <c r="A78" t="s">
        <v>7</v>
      </c>
      <c r="B78" t="s">
        <v>11</v>
      </c>
      <c r="C78">
        <v>80.232846891738504</v>
      </c>
      <c r="D78">
        <v>6.6173647054920304</v>
      </c>
      <c r="E78">
        <f t="shared" si="1"/>
        <v>615125.58832540165</v>
      </c>
    </row>
    <row r="79" spans="1:5" x14ac:dyDescent="0.4">
      <c r="A79" t="s">
        <v>7</v>
      </c>
      <c r="B79" t="s">
        <v>11</v>
      </c>
      <c r="C79">
        <v>81.597136605271601</v>
      </c>
      <c r="D79">
        <v>6.3493425589993597</v>
      </c>
      <c r="E79">
        <f t="shared" si="1"/>
        <v>615158.33127852657</v>
      </c>
    </row>
    <row r="80" spans="1:5" x14ac:dyDescent="0.4">
      <c r="A80" t="s">
        <v>7</v>
      </c>
      <c r="B80" t="s">
        <v>11</v>
      </c>
      <c r="C80">
        <v>82.961361318580202</v>
      </c>
      <c r="D80">
        <v>6.08830212581229</v>
      </c>
      <c r="E80">
        <f t="shared" si="1"/>
        <v>615191.0726716459</v>
      </c>
    </row>
    <row r="81" spans="1:5" x14ac:dyDescent="0.4">
      <c r="A81" t="s">
        <v>7</v>
      </c>
      <c r="B81" t="s">
        <v>11</v>
      </c>
      <c r="C81">
        <v>84.325261030765901</v>
      </c>
      <c r="D81">
        <v>5.8194558532916902</v>
      </c>
      <c r="E81">
        <f t="shared" si="1"/>
        <v>615223.80626473832</v>
      </c>
    </row>
    <row r="82" spans="1:5" x14ac:dyDescent="0.4">
      <c r="A82" t="s">
        <v>7</v>
      </c>
      <c r="B82" t="s">
        <v>11</v>
      </c>
      <c r="C82">
        <v>85.3780588347812</v>
      </c>
      <c r="D82">
        <v>5.5583548290527602</v>
      </c>
      <c r="E82">
        <f t="shared" si="1"/>
        <v>615249.07341203466</v>
      </c>
    </row>
    <row r="83" spans="1:5" x14ac:dyDescent="0.4">
      <c r="A83" t="s">
        <v>7</v>
      </c>
      <c r="B83" t="s">
        <v>12</v>
      </c>
      <c r="C83">
        <v>-11.1356856556593</v>
      </c>
      <c r="D83">
        <v>6.3246532699768201</v>
      </c>
      <c r="E83">
        <f t="shared" si="1"/>
        <v>612932.74354426411</v>
      </c>
    </row>
    <row r="84" spans="1:5" x14ac:dyDescent="0.4">
      <c r="A84" t="s">
        <v>7</v>
      </c>
      <c r="B84" t="s">
        <v>12</v>
      </c>
      <c r="C84">
        <v>-11.091534253119001</v>
      </c>
      <c r="D84">
        <v>3.9095064801850801</v>
      </c>
      <c r="E84">
        <f t="shared" si="1"/>
        <v>612933.80317792506</v>
      </c>
    </row>
    <row r="85" spans="1:5" x14ac:dyDescent="0.4">
      <c r="A85" t="s">
        <v>7</v>
      </c>
      <c r="B85" t="s">
        <v>12</v>
      </c>
      <c r="C85">
        <v>-10.6944113830692</v>
      </c>
      <c r="D85">
        <v>14.332186162645799</v>
      </c>
      <c r="E85">
        <f t="shared" si="1"/>
        <v>612943.33412680635</v>
      </c>
    </row>
    <row r="86" spans="1:5" x14ac:dyDescent="0.4">
      <c r="A86" t="s">
        <v>7</v>
      </c>
      <c r="B86" t="s">
        <v>12</v>
      </c>
      <c r="C86">
        <v>-10.856541030518301</v>
      </c>
      <c r="D86">
        <v>10.8086938946464</v>
      </c>
      <c r="E86">
        <f t="shared" si="1"/>
        <v>612939.44301526749</v>
      </c>
    </row>
    <row r="87" spans="1:5" x14ac:dyDescent="0.4">
      <c r="A87" t="s">
        <v>7</v>
      </c>
      <c r="B87" t="s">
        <v>12</v>
      </c>
      <c r="C87">
        <v>-10.129636873452901</v>
      </c>
      <c r="D87">
        <v>40.991247959697297</v>
      </c>
      <c r="E87">
        <f t="shared" si="1"/>
        <v>612956.88871503703</v>
      </c>
    </row>
    <row r="88" spans="1:5" x14ac:dyDescent="0.4">
      <c r="A88" t="s">
        <v>7</v>
      </c>
      <c r="B88" t="s">
        <v>12</v>
      </c>
      <c r="C88">
        <v>-10.4291023394594</v>
      </c>
      <c r="D88">
        <v>24.266688786055401</v>
      </c>
      <c r="E88">
        <f t="shared" si="1"/>
        <v>612949.70154385292</v>
      </c>
    </row>
    <row r="89" spans="1:5" x14ac:dyDescent="0.4">
      <c r="A89" t="s">
        <v>7</v>
      </c>
      <c r="B89" t="s">
        <v>12</v>
      </c>
      <c r="C89">
        <v>-10.1919189961967</v>
      </c>
      <c r="D89">
        <v>6.4092431661361404</v>
      </c>
      <c r="E89">
        <f t="shared" si="1"/>
        <v>612955.39394409128</v>
      </c>
    </row>
    <row r="90" spans="1:5" x14ac:dyDescent="0.4">
      <c r="A90" t="s">
        <v>7</v>
      </c>
      <c r="B90" t="s">
        <v>12</v>
      </c>
      <c r="C90">
        <v>-10.243575541333399</v>
      </c>
      <c r="D90">
        <v>3.86604079240584</v>
      </c>
      <c r="E90">
        <f t="shared" si="1"/>
        <v>612954.15418700804</v>
      </c>
    </row>
    <row r="91" spans="1:5" x14ac:dyDescent="0.4">
      <c r="A91" t="s">
        <v>7</v>
      </c>
      <c r="B91" t="s">
        <v>12</v>
      </c>
      <c r="C91">
        <v>-9.8204981951046406</v>
      </c>
      <c r="D91">
        <v>14.764991525875001</v>
      </c>
      <c r="E91">
        <f t="shared" si="1"/>
        <v>612964.30804331752</v>
      </c>
    </row>
    <row r="92" spans="1:5" x14ac:dyDescent="0.4">
      <c r="A92" t="s">
        <v>7</v>
      </c>
      <c r="B92" t="s">
        <v>12</v>
      </c>
      <c r="C92">
        <v>-9.8432293153058605</v>
      </c>
      <c r="D92">
        <v>11.8202303807153</v>
      </c>
      <c r="E92">
        <f t="shared" si="1"/>
        <v>612963.76249643276</v>
      </c>
    </row>
    <row r="93" spans="1:5" x14ac:dyDescent="0.4">
      <c r="A93" t="s">
        <v>7</v>
      </c>
      <c r="B93" t="s">
        <v>12</v>
      </c>
      <c r="C93">
        <v>-9.9797947871307695</v>
      </c>
      <c r="D93">
        <v>10.4946271259442</v>
      </c>
      <c r="E93">
        <f t="shared" si="1"/>
        <v>612960.48492510885</v>
      </c>
    </row>
    <row r="94" spans="1:5" x14ac:dyDescent="0.4">
      <c r="A94" t="s">
        <v>7</v>
      </c>
      <c r="B94" t="s">
        <v>12</v>
      </c>
      <c r="C94">
        <v>-8.9468630636562594</v>
      </c>
      <c r="D94">
        <v>46.983903746836098</v>
      </c>
      <c r="E94">
        <f t="shared" si="1"/>
        <v>612985.27528647229</v>
      </c>
    </row>
    <row r="95" spans="1:5" x14ac:dyDescent="0.4">
      <c r="A95" t="s">
        <v>7</v>
      </c>
      <c r="B95" t="s">
        <v>12</v>
      </c>
      <c r="C95">
        <v>-9.2061825429217006</v>
      </c>
      <c r="D95">
        <v>25.160846795437301</v>
      </c>
      <c r="E95">
        <f t="shared" si="1"/>
        <v>612979.05161896988</v>
      </c>
    </row>
    <row r="96" spans="1:5" x14ac:dyDescent="0.4">
      <c r="A96" t="s">
        <v>7</v>
      </c>
      <c r="B96" t="s">
        <v>12</v>
      </c>
      <c r="C96">
        <v>-9.4031452948439007</v>
      </c>
      <c r="D96">
        <v>22.7378840665776</v>
      </c>
      <c r="E96">
        <f t="shared" si="1"/>
        <v>612974.32451292383</v>
      </c>
    </row>
    <row r="97" spans="1:5" x14ac:dyDescent="0.4">
      <c r="A97" t="s">
        <v>7</v>
      </c>
      <c r="B97" t="s">
        <v>12</v>
      </c>
      <c r="C97">
        <v>-8.5308422810931397</v>
      </c>
      <c r="D97">
        <v>42.383784442852701</v>
      </c>
      <c r="E97">
        <f t="shared" si="1"/>
        <v>612995.25978525367</v>
      </c>
    </row>
    <row r="98" spans="1:5" x14ac:dyDescent="0.4">
      <c r="A98" t="s">
        <v>7</v>
      </c>
      <c r="B98" t="s">
        <v>12</v>
      </c>
      <c r="C98">
        <v>-7.6881573934806298</v>
      </c>
      <c r="D98">
        <v>64.497047225515203</v>
      </c>
      <c r="E98">
        <f t="shared" si="1"/>
        <v>613015.48422255635</v>
      </c>
    </row>
    <row r="99" spans="1:5" x14ac:dyDescent="0.4">
      <c r="A99" t="s">
        <v>7</v>
      </c>
      <c r="B99" t="s">
        <v>12</v>
      </c>
      <c r="C99">
        <v>-7.8973103700589604</v>
      </c>
      <c r="D99">
        <v>47.422966809074403</v>
      </c>
      <c r="E99">
        <f t="shared" si="1"/>
        <v>613010.46455111855</v>
      </c>
    </row>
    <row r="100" spans="1:5" x14ac:dyDescent="0.4">
      <c r="A100" t="s">
        <v>7</v>
      </c>
      <c r="B100" t="s">
        <v>12</v>
      </c>
      <c r="C100">
        <v>-6.6296563204611898</v>
      </c>
      <c r="D100">
        <v>79.521688519963504</v>
      </c>
      <c r="E100">
        <f t="shared" si="1"/>
        <v>613040.88824830891</v>
      </c>
    </row>
    <row r="101" spans="1:5" x14ac:dyDescent="0.4">
      <c r="A101" t="s">
        <v>7</v>
      </c>
      <c r="B101" t="s">
        <v>12</v>
      </c>
      <c r="C101">
        <v>-6.8159088561085701</v>
      </c>
      <c r="D101">
        <v>59.926425953087403</v>
      </c>
      <c r="E101">
        <f t="shared" si="1"/>
        <v>613036.4181874533</v>
      </c>
    </row>
    <row r="102" spans="1:5" x14ac:dyDescent="0.4">
      <c r="A102" t="s">
        <v>7</v>
      </c>
      <c r="B102" t="s">
        <v>12</v>
      </c>
      <c r="C102">
        <v>-5.4518466433614297</v>
      </c>
      <c r="D102">
        <v>94.4060189008419</v>
      </c>
      <c r="E102">
        <f t="shared" si="1"/>
        <v>613069.15568055934</v>
      </c>
    </row>
    <row r="103" spans="1:5" x14ac:dyDescent="0.4">
      <c r="A103" t="s">
        <v>7</v>
      </c>
      <c r="B103" t="s">
        <v>12</v>
      </c>
      <c r="C103">
        <v>-5.8592355508638896</v>
      </c>
      <c r="D103">
        <v>75.491398930065998</v>
      </c>
      <c r="E103">
        <f t="shared" si="1"/>
        <v>613059.37834677927</v>
      </c>
    </row>
    <row r="104" spans="1:5" x14ac:dyDescent="0.4">
      <c r="A104" t="s">
        <v>7</v>
      </c>
      <c r="B104" t="s">
        <v>12</v>
      </c>
      <c r="C104">
        <v>-4.1236862213193497</v>
      </c>
      <c r="D104">
        <v>93.123713987618601</v>
      </c>
      <c r="E104">
        <f t="shared" si="1"/>
        <v>613101.03153068828</v>
      </c>
    </row>
    <row r="105" spans="1:5" x14ac:dyDescent="0.4">
      <c r="A105" t="s">
        <v>7</v>
      </c>
      <c r="B105" t="s">
        <v>12</v>
      </c>
      <c r="C105">
        <v>-3.5010707368895999</v>
      </c>
      <c r="D105">
        <v>71.442348736455997</v>
      </c>
      <c r="E105">
        <f t="shared" si="1"/>
        <v>613115.97430231469</v>
      </c>
    </row>
    <row r="106" spans="1:5" x14ac:dyDescent="0.4">
      <c r="A106" t="s">
        <v>7</v>
      </c>
      <c r="B106" t="s">
        <v>12</v>
      </c>
      <c r="C106">
        <v>-2.6619987268387102</v>
      </c>
      <c r="D106">
        <v>89.908128539177298</v>
      </c>
      <c r="E106">
        <f t="shared" si="1"/>
        <v>613136.11203055596</v>
      </c>
    </row>
    <row r="107" spans="1:5" x14ac:dyDescent="0.4">
      <c r="A107" t="s">
        <v>7</v>
      </c>
      <c r="B107" t="s">
        <v>12</v>
      </c>
      <c r="C107">
        <v>-2.1107516834267801</v>
      </c>
      <c r="D107">
        <v>72.193824965655907</v>
      </c>
      <c r="E107">
        <f t="shared" si="1"/>
        <v>613149.34195959778</v>
      </c>
    </row>
    <row r="108" spans="1:5" x14ac:dyDescent="0.4">
      <c r="A108" t="s">
        <v>7</v>
      </c>
      <c r="B108" t="s">
        <v>12</v>
      </c>
      <c r="C108">
        <v>-1.3795755924456401</v>
      </c>
      <c r="D108">
        <v>87.177799441510501</v>
      </c>
      <c r="E108">
        <f t="shared" si="1"/>
        <v>613166.89018578129</v>
      </c>
    </row>
    <row r="109" spans="1:5" x14ac:dyDescent="0.4">
      <c r="A109" t="s">
        <v>7</v>
      </c>
      <c r="B109" t="s">
        <v>12</v>
      </c>
      <c r="C109">
        <v>-1.13621523313274</v>
      </c>
      <c r="D109">
        <v>72.185406447748406</v>
      </c>
      <c r="E109">
        <f t="shared" si="1"/>
        <v>613172.73083440482</v>
      </c>
    </row>
    <row r="110" spans="1:5" x14ac:dyDescent="0.4">
      <c r="A110" t="s">
        <v>7</v>
      </c>
      <c r="B110" t="s">
        <v>12</v>
      </c>
      <c r="C110">
        <v>2.4355557737728</v>
      </c>
      <c r="D110">
        <v>80.956907781779506</v>
      </c>
      <c r="E110">
        <f t="shared" si="1"/>
        <v>613258.45333857066</v>
      </c>
    </row>
    <row r="111" spans="1:5" x14ac:dyDescent="0.4">
      <c r="A111" t="s">
        <v>7</v>
      </c>
      <c r="B111" t="s">
        <v>12</v>
      </c>
      <c r="C111">
        <v>2.7951868496083399</v>
      </c>
      <c r="D111">
        <v>69.081294195008994</v>
      </c>
      <c r="E111">
        <f t="shared" si="1"/>
        <v>613267.08448439057</v>
      </c>
    </row>
    <row r="112" spans="1:5" x14ac:dyDescent="0.4">
      <c r="A112" t="s">
        <v>7</v>
      </c>
      <c r="B112" t="s">
        <v>12</v>
      </c>
      <c r="C112">
        <v>3.5421233885593302</v>
      </c>
      <c r="D112">
        <v>81.936289732748094</v>
      </c>
      <c r="E112">
        <f t="shared" si="1"/>
        <v>613285.01096132549</v>
      </c>
    </row>
    <row r="113" spans="1:5" x14ac:dyDescent="0.4">
      <c r="A113" t="s">
        <v>7</v>
      </c>
      <c r="B113" t="s">
        <v>12</v>
      </c>
      <c r="C113">
        <v>3.5251718716595999</v>
      </c>
      <c r="D113">
        <v>69.4116466642961</v>
      </c>
      <c r="E113">
        <f t="shared" si="1"/>
        <v>613284.60412491974</v>
      </c>
    </row>
    <row r="114" spans="1:5" x14ac:dyDescent="0.4">
      <c r="A114" t="s">
        <v>7</v>
      </c>
      <c r="B114" t="s">
        <v>12</v>
      </c>
      <c r="C114">
        <v>12.807923155930601</v>
      </c>
      <c r="D114">
        <v>43.381123685644198</v>
      </c>
      <c r="E114">
        <f t="shared" si="1"/>
        <v>613507.39015574241</v>
      </c>
    </row>
    <row r="115" spans="1:5" x14ac:dyDescent="0.4">
      <c r="A115" t="s">
        <v>7</v>
      </c>
      <c r="B115" t="s">
        <v>12</v>
      </c>
      <c r="C115">
        <v>12.8015344764507</v>
      </c>
      <c r="D115">
        <v>49.919814616591403</v>
      </c>
      <c r="E115">
        <f t="shared" si="1"/>
        <v>613507.23682743486</v>
      </c>
    </row>
    <row r="116" spans="1:5" x14ac:dyDescent="0.4">
      <c r="A116" t="s">
        <v>7</v>
      </c>
      <c r="B116" t="s">
        <v>12</v>
      </c>
      <c r="C116">
        <v>13.6670052443743</v>
      </c>
      <c r="D116">
        <v>43.657998169211503</v>
      </c>
      <c r="E116">
        <f t="shared" si="1"/>
        <v>613528.0081258649</v>
      </c>
    </row>
    <row r="117" spans="1:5" x14ac:dyDescent="0.4">
      <c r="A117" t="s">
        <v>7</v>
      </c>
      <c r="B117" t="s">
        <v>12</v>
      </c>
      <c r="C117">
        <v>13.755427216533199</v>
      </c>
      <c r="D117">
        <v>49.958639614983099</v>
      </c>
      <c r="E117">
        <f t="shared" si="1"/>
        <v>613530.13025319669</v>
      </c>
    </row>
    <row r="118" spans="1:5" x14ac:dyDescent="0.4">
      <c r="A118" t="s">
        <v>7</v>
      </c>
      <c r="B118" t="s">
        <v>12</v>
      </c>
      <c r="C118">
        <v>37.830615870950503</v>
      </c>
      <c r="D118">
        <v>20.695288450594902</v>
      </c>
      <c r="E118">
        <f t="shared" si="1"/>
        <v>614107.93478090281</v>
      </c>
    </row>
    <row r="119" spans="1:5" x14ac:dyDescent="0.4">
      <c r="A119" t="s">
        <v>7</v>
      </c>
      <c r="B119" t="s">
        <v>12</v>
      </c>
      <c r="C119">
        <v>38.745836056786899</v>
      </c>
      <c r="D119">
        <v>20.558522361393202</v>
      </c>
      <c r="E119">
        <f t="shared" si="1"/>
        <v>614129.90006536292</v>
      </c>
    </row>
    <row r="120" spans="1:5" x14ac:dyDescent="0.4">
      <c r="A120" t="s">
        <v>7</v>
      </c>
      <c r="B120" t="s">
        <v>12</v>
      </c>
      <c r="C120">
        <v>38.685418348047598</v>
      </c>
      <c r="D120">
        <v>23.6299732809014</v>
      </c>
      <c r="E120">
        <f t="shared" si="1"/>
        <v>614128.45004035323</v>
      </c>
    </row>
    <row r="121" spans="1:5" x14ac:dyDescent="0.4">
      <c r="A121" t="s">
        <v>7</v>
      </c>
      <c r="B121" t="s">
        <v>12</v>
      </c>
      <c r="C121">
        <v>61.675369443515301</v>
      </c>
      <c r="D121">
        <v>10.667372331637401</v>
      </c>
      <c r="E121">
        <f t="shared" si="1"/>
        <v>614680.2088666443</v>
      </c>
    </row>
    <row r="122" spans="1:5" x14ac:dyDescent="0.4">
      <c r="A122" t="s">
        <v>7</v>
      </c>
      <c r="B122" t="s">
        <v>12</v>
      </c>
      <c r="C122">
        <v>61.869799043828401</v>
      </c>
      <c r="D122">
        <v>12.8063976829671</v>
      </c>
      <c r="E122">
        <f t="shared" si="1"/>
        <v>614684.87517705199</v>
      </c>
    </row>
    <row r="123" spans="1:5" x14ac:dyDescent="0.4">
      <c r="A123" t="s">
        <v>7</v>
      </c>
      <c r="B123" t="s">
        <v>12</v>
      </c>
      <c r="C123">
        <v>62.681497086288203</v>
      </c>
      <c r="D123">
        <v>11.0858918286304</v>
      </c>
      <c r="E123">
        <f t="shared" si="1"/>
        <v>614704.35593007097</v>
      </c>
    </row>
    <row r="124" spans="1:5" x14ac:dyDescent="0.4">
      <c r="A124" t="s">
        <v>7</v>
      </c>
      <c r="B124" t="s">
        <v>12</v>
      </c>
      <c r="C124">
        <v>85.6375505646417</v>
      </c>
      <c r="D124">
        <v>6.5212567430883297</v>
      </c>
      <c r="E124">
        <f t="shared" si="1"/>
        <v>615255.30121355131</v>
      </c>
    </row>
    <row r="125" spans="1:5" x14ac:dyDescent="0.4">
      <c r="A125" t="s">
        <v>7</v>
      </c>
      <c r="B125" t="s">
        <v>12</v>
      </c>
      <c r="C125">
        <v>86.569562784683995</v>
      </c>
      <c r="D125">
        <v>6.1061427085288198</v>
      </c>
      <c r="E125">
        <f t="shared" si="1"/>
        <v>615277.66950683238</v>
      </c>
    </row>
    <row r="126" spans="1:5" x14ac:dyDescent="0.4">
      <c r="A126" t="s">
        <v>7</v>
      </c>
      <c r="B126" t="s">
        <v>12</v>
      </c>
      <c r="C126">
        <v>86.523373625103403</v>
      </c>
      <c r="D126">
        <v>7.14225226226187</v>
      </c>
      <c r="E126">
        <f t="shared" si="1"/>
        <v>615276.56096700241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2025-07-20T00:23:10Z</dcterms:created>
  <dcterms:modified xsi:type="dcterms:W3CDTF">2025-07-22T03:17:46Z</dcterms:modified>
</cp:coreProperties>
</file>