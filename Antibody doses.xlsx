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ber\Documents\git\JSON2SBML\"/>
    </mc:Choice>
  </mc:AlternateContent>
  <xr:revisionPtr revIDLastSave="0" documentId="13_ncr:1_{BF991426-BB4F-40C1-B533-EC629359B74A}" xr6:coauthVersionLast="47" xr6:coauthVersionMax="47" xr10:uidLastSave="{00000000-0000-0000-0000-000000000000}"/>
  <bookViews>
    <workbookView xWindow="-86" yWindow="0" windowWidth="14717" windowHeight="17880" activeTab="2" xr2:uid="{116471A8-54B7-4BBC-8DA4-5C122436A7F8}"/>
  </bookViews>
  <sheets>
    <sheet name="Sheet1" sheetId="1" r:id="rId1"/>
    <sheet name="Chang" sheetId="4" r:id="rId2"/>
    <sheet name="Curtin" sheetId="6" r:id="rId3"/>
    <sheet name="Bloomingdale" sheetId="5" r:id="rId4"/>
    <sheet name="Sheet2" sheetId="2" r:id="rId5"/>
    <sheet name="Gant PK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6" l="1"/>
  <c r="E35" i="6"/>
  <c r="E34" i="6"/>
  <c r="E33" i="6"/>
  <c r="E32" i="6"/>
  <c r="F36" i="6"/>
  <c r="G36" i="6" s="1"/>
  <c r="F35" i="6"/>
  <c r="G35" i="6" s="1"/>
  <c r="F34" i="6"/>
  <c r="G34" i="6" s="1"/>
  <c r="F33" i="6"/>
  <c r="G33" i="6" s="1"/>
  <c r="F32" i="6"/>
  <c r="G32" i="6" s="1"/>
  <c r="E31" i="6"/>
  <c r="E30" i="6"/>
  <c r="E29" i="6"/>
  <c r="E28" i="6"/>
  <c r="E27" i="6"/>
  <c r="F31" i="6"/>
  <c r="G31" i="6"/>
  <c r="F30" i="6"/>
  <c r="G30" i="6" s="1"/>
  <c r="F29" i="6"/>
  <c r="G29" i="6"/>
  <c r="F28" i="6"/>
  <c r="G28" i="6" s="1"/>
  <c r="F27" i="6"/>
  <c r="G27" i="6"/>
  <c r="C31" i="6"/>
  <c r="C30" i="6"/>
  <c r="C29" i="6"/>
  <c r="C28" i="6"/>
  <c r="C27" i="6"/>
  <c r="E3" i="6"/>
  <c r="F3" i="6"/>
  <c r="G3" i="6" s="1"/>
  <c r="E4" i="6"/>
  <c r="F4" i="6"/>
  <c r="G4" i="6" s="1"/>
  <c r="E5" i="6"/>
  <c r="F5" i="6"/>
  <c r="G5" i="6" s="1"/>
  <c r="E6" i="6"/>
  <c r="F6" i="6"/>
  <c r="G6" i="6" s="1"/>
  <c r="E7" i="6"/>
  <c r="F7" i="6"/>
  <c r="G7" i="6"/>
  <c r="E8" i="6"/>
  <c r="F8" i="6"/>
  <c r="G8" i="6"/>
  <c r="E9" i="6"/>
  <c r="F9" i="6"/>
  <c r="G9" i="6"/>
  <c r="E10" i="6"/>
  <c r="F10" i="6"/>
  <c r="G10" i="6"/>
  <c r="E11" i="6"/>
  <c r="F11" i="6"/>
  <c r="G11" i="6" s="1"/>
  <c r="E12" i="6"/>
  <c r="F12" i="6"/>
  <c r="G12" i="6" s="1"/>
  <c r="E13" i="6"/>
  <c r="F13" i="6"/>
  <c r="G13" i="6" s="1"/>
  <c r="E14" i="6"/>
  <c r="F14" i="6"/>
  <c r="G14" i="6" s="1"/>
  <c r="E15" i="6"/>
  <c r="F15" i="6"/>
  <c r="G15" i="6"/>
  <c r="E16" i="6"/>
  <c r="F16" i="6"/>
  <c r="G16" i="6"/>
  <c r="E17" i="6"/>
  <c r="F17" i="6"/>
  <c r="G17" i="6"/>
  <c r="E18" i="6"/>
  <c r="F18" i="6"/>
  <c r="G18" i="6"/>
  <c r="E19" i="6"/>
  <c r="F19" i="6"/>
  <c r="G19" i="6" s="1"/>
  <c r="E20" i="6"/>
  <c r="F20" i="6"/>
  <c r="G20" i="6" s="1"/>
  <c r="E21" i="6"/>
  <c r="F21" i="6"/>
  <c r="G21" i="6" s="1"/>
  <c r="E22" i="6"/>
  <c r="F22" i="6"/>
  <c r="G22" i="6" s="1"/>
  <c r="E23" i="6"/>
  <c r="F23" i="6"/>
  <c r="G23" i="6"/>
  <c r="E24" i="6"/>
  <c r="F24" i="6"/>
  <c r="G24" i="6"/>
  <c r="E25" i="6"/>
  <c r="F25" i="6"/>
  <c r="G25" i="6"/>
  <c r="E26" i="6"/>
  <c r="F26" i="6"/>
  <c r="G26" i="6"/>
  <c r="G2" i="6"/>
  <c r="F2" i="6"/>
  <c r="E2" i="6"/>
  <c r="F187" i="5"/>
  <c r="E187" i="5"/>
  <c r="F186" i="5"/>
  <c r="E186" i="5"/>
  <c r="F185" i="5"/>
  <c r="E185" i="5"/>
  <c r="F184" i="5"/>
  <c r="E184" i="5"/>
  <c r="F183" i="5"/>
  <c r="E183" i="5"/>
  <c r="F182" i="5"/>
  <c r="E182" i="5"/>
  <c r="F181" i="5"/>
  <c r="E181" i="5"/>
  <c r="F180" i="5"/>
  <c r="E180" i="5"/>
  <c r="F179" i="5"/>
  <c r="E179" i="5"/>
  <c r="F178" i="5"/>
  <c r="E178" i="5"/>
  <c r="F177" i="5"/>
  <c r="E177" i="5"/>
  <c r="F176" i="5"/>
  <c r="E176" i="5"/>
  <c r="F175" i="5"/>
  <c r="E175" i="5"/>
  <c r="F174" i="5"/>
  <c r="E174" i="5"/>
  <c r="F173" i="5"/>
  <c r="E173" i="5"/>
  <c r="F172" i="5"/>
  <c r="E172" i="5"/>
  <c r="F171" i="5"/>
  <c r="E171" i="5"/>
  <c r="F170" i="5"/>
  <c r="E170" i="5"/>
  <c r="F169" i="5"/>
  <c r="E169" i="5"/>
  <c r="F168" i="5"/>
  <c r="E168" i="5"/>
  <c r="F167" i="5"/>
  <c r="E167" i="5"/>
  <c r="F166" i="5"/>
  <c r="E166" i="5"/>
  <c r="F165" i="5"/>
  <c r="E165" i="5"/>
  <c r="F164" i="5"/>
  <c r="E164" i="5"/>
  <c r="F163" i="5"/>
  <c r="E163" i="5"/>
  <c r="F162" i="5"/>
  <c r="E162" i="5"/>
  <c r="F161" i="5"/>
  <c r="E161" i="5"/>
  <c r="F160" i="5"/>
  <c r="E160" i="5"/>
  <c r="F159" i="5"/>
  <c r="E159" i="5"/>
  <c r="F158" i="5"/>
  <c r="E158" i="5"/>
  <c r="F157" i="5"/>
  <c r="E157" i="5"/>
  <c r="F156" i="5"/>
  <c r="E156" i="5"/>
  <c r="F155" i="5"/>
  <c r="E155" i="5"/>
  <c r="F154" i="5"/>
  <c r="E154" i="5"/>
  <c r="F153" i="5"/>
  <c r="E153" i="5"/>
  <c r="F152" i="5"/>
  <c r="E152" i="5"/>
  <c r="F151" i="5"/>
  <c r="E151" i="5"/>
  <c r="F150" i="5"/>
  <c r="E150" i="5"/>
  <c r="F149" i="5"/>
  <c r="E149" i="5"/>
  <c r="F148" i="5"/>
  <c r="E148" i="5"/>
  <c r="F147" i="5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E64" i="5"/>
  <c r="F64" i="5"/>
  <c r="E65" i="5"/>
  <c r="F65" i="5"/>
  <c r="E66" i="5"/>
  <c r="F66" i="5"/>
  <c r="E67" i="5"/>
  <c r="F67" i="5"/>
  <c r="E68" i="5"/>
  <c r="F68" i="5"/>
  <c r="E69" i="5"/>
  <c r="F69" i="5"/>
  <c r="E70" i="5"/>
  <c r="F70" i="5"/>
  <c r="E71" i="5"/>
  <c r="F71" i="5"/>
  <c r="E72" i="5"/>
  <c r="F72" i="5"/>
  <c r="E73" i="5"/>
  <c r="F73" i="5"/>
  <c r="E74" i="5"/>
  <c r="F74" i="5"/>
  <c r="E75" i="5"/>
  <c r="F75" i="5"/>
  <c r="E76" i="5"/>
  <c r="F76" i="5"/>
  <c r="E77" i="5"/>
  <c r="F77" i="5"/>
  <c r="E78" i="5"/>
  <c r="F78" i="5"/>
  <c r="E79" i="5"/>
  <c r="F79" i="5"/>
  <c r="E80" i="5"/>
  <c r="F80" i="5"/>
  <c r="E81" i="5"/>
  <c r="F81" i="5"/>
  <c r="E82" i="5"/>
  <c r="F82" i="5"/>
  <c r="E83" i="5"/>
  <c r="F83" i="5"/>
  <c r="E84" i="5"/>
  <c r="F84" i="5"/>
  <c r="E85" i="5"/>
  <c r="F85" i="5"/>
  <c r="E86" i="5"/>
  <c r="F86" i="5"/>
  <c r="E87" i="5"/>
  <c r="F87" i="5"/>
  <c r="E88" i="5"/>
  <c r="F88" i="5"/>
  <c r="E89" i="5"/>
  <c r="F89" i="5"/>
  <c r="E90" i="5"/>
  <c r="F90" i="5"/>
  <c r="E91" i="5"/>
  <c r="F91" i="5"/>
  <c r="E92" i="5"/>
  <c r="F92" i="5"/>
  <c r="E93" i="5"/>
  <c r="F93" i="5"/>
  <c r="E94" i="5"/>
  <c r="F94" i="5"/>
  <c r="E95" i="5"/>
  <c r="F95" i="5"/>
  <c r="E96" i="5"/>
  <c r="F96" i="5"/>
  <c r="E97" i="5"/>
  <c r="F97" i="5"/>
  <c r="E98" i="5"/>
  <c r="F98" i="5"/>
  <c r="E99" i="5"/>
  <c r="F99" i="5"/>
  <c r="E100" i="5"/>
  <c r="F100" i="5"/>
  <c r="E101" i="5"/>
  <c r="F101" i="5"/>
  <c r="E102" i="5"/>
  <c r="F102" i="5"/>
  <c r="E103" i="5"/>
  <c r="F103" i="5"/>
  <c r="E104" i="5"/>
  <c r="F104" i="5"/>
  <c r="E105" i="5"/>
  <c r="F105" i="5"/>
  <c r="E106" i="5"/>
  <c r="F106" i="5"/>
  <c r="E107" i="5"/>
  <c r="F107" i="5"/>
  <c r="E108" i="5"/>
  <c r="F108" i="5"/>
  <c r="E109" i="5"/>
  <c r="F109" i="5"/>
  <c r="E110" i="5"/>
  <c r="F110" i="5"/>
  <c r="E111" i="5"/>
  <c r="F111" i="5"/>
  <c r="E112" i="5"/>
  <c r="F112" i="5"/>
  <c r="E113" i="5"/>
  <c r="F113" i="5"/>
  <c r="E114" i="5"/>
  <c r="F114" i="5"/>
  <c r="E115" i="5"/>
  <c r="F115" i="5"/>
  <c r="E116" i="5"/>
  <c r="F116" i="5"/>
  <c r="E117" i="5"/>
  <c r="F117" i="5"/>
  <c r="E118" i="5"/>
  <c r="F118" i="5"/>
  <c r="E119" i="5"/>
  <c r="F119" i="5"/>
  <c r="E120" i="5"/>
  <c r="F120" i="5"/>
  <c r="E121" i="5"/>
  <c r="F121" i="5"/>
  <c r="E122" i="5"/>
  <c r="F122" i="5"/>
  <c r="E123" i="5"/>
  <c r="F123" i="5"/>
  <c r="E124" i="5"/>
  <c r="F124" i="5"/>
  <c r="E125" i="5"/>
  <c r="F125" i="5"/>
  <c r="B14" i="4"/>
  <c r="B12" i="4"/>
  <c r="E3" i="5"/>
  <c r="F3" i="5"/>
  <c r="E4" i="5"/>
  <c r="F4" i="5"/>
  <c r="E5" i="5"/>
  <c r="F5" i="5"/>
  <c r="E6" i="5"/>
  <c r="F6" i="5"/>
  <c r="E7" i="5"/>
  <c r="F7" i="5"/>
  <c r="E8" i="5"/>
  <c r="F8" i="5"/>
  <c r="E9" i="5"/>
  <c r="F9" i="5"/>
  <c r="E10" i="5"/>
  <c r="F10" i="5"/>
  <c r="E11" i="5"/>
  <c r="F11" i="5"/>
  <c r="E12" i="5"/>
  <c r="F12" i="5"/>
  <c r="E13" i="5"/>
  <c r="F13" i="5"/>
  <c r="E14" i="5"/>
  <c r="F14" i="5"/>
  <c r="E15" i="5"/>
  <c r="F15" i="5"/>
  <c r="E16" i="5"/>
  <c r="F16" i="5"/>
  <c r="E17" i="5"/>
  <c r="F17" i="5"/>
  <c r="E18" i="5"/>
  <c r="F18" i="5"/>
  <c r="E19" i="5"/>
  <c r="F19" i="5"/>
  <c r="E20" i="5"/>
  <c r="F20" i="5"/>
  <c r="E21" i="5"/>
  <c r="F21" i="5"/>
  <c r="E22" i="5"/>
  <c r="F22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1" i="5"/>
  <c r="F31" i="5"/>
  <c r="E32" i="5"/>
  <c r="F32" i="5"/>
  <c r="E33" i="5"/>
  <c r="F33" i="5"/>
  <c r="E34" i="5"/>
  <c r="F34" i="5"/>
  <c r="E35" i="5"/>
  <c r="F35" i="5"/>
  <c r="E36" i="5"/>
  <c r="F36" i="5"/>
  <c r="E37" i="5"/>
  <c r="F37" i="5"/>
  <c r="E38" i="5"/>
  <c r="F38" i="5"/>
  <c r="E39" i="5"/>
  <c r="F39" i="5"/>
  <c r="E40" i="5"/>
  <c r="F40" i="5"/>
  <c r="E41" i="5"/>
  <c r="F41" i="5"/>
  <c r="E42" i="5"/>
  <c r="F42" i="5"/>
  <c r="E43" i="5"/>
  <c r="F43" i="5"/>
  <c r="E44" i="5"/>
  <c r="F44" i="5"/>
  <c r="E45" i="5"/>
  <c r="F45" i="5"/>
  <c r="E46" i="5"/>
  <c r="F46" i="5"/>
  <c r="E47" i="5"/>
  <c r="F47" i="5"/>
  <c r="E48" i="5"/>
  <c r="F48" i="5"/>
  <c r="E49" i="5"/>
  <c r="F49" i="5"/>
  <c r="E50" i="5"/>
  <c r="F50" i="5"/>
  <c r="E51" i="5"/>
  <c r="F51" i="5"/>
  <c r="E52" i="5"/>
  <c r="F52" i="5"/>
  <c r="E53" i="5"/>
  <c r="F53" i="5"/>
  <c r="E54" i="5"/>
  <c r="F54" i="5"/>
  <c r="E55" i="5"/>
  <c r="F55" i="5"/>
  <c r="E56" i="5"/>
  <c r="F56" i="5"/>
  <c r="E57" i="5"/>
  <c r="F57" i="5"/>
  <c r="E58" i="5"/>
  <c r="F58" i="5"/>
  <c r="E59" i="5"/>
  <c r="F59" i="5"/>
  <c r="E60" i="5"/>
  <c r="F60" i="5"/>
  <c r="E61" i="5"/>
  <c r="F61" i="5"/>
  <c r="E62" i="5"/>
  <c r="F62" i="5"/>
  <c r="E63" i="5"/>
  <c r="F63" i="5"/>
  <c r="F2" i="5"/>
  <c r="E2" i="5"/>
  <c r="I106" i="4" l="1"/>
  <c r="J106" i="4"/>
  <c r="I107" i="4"/>
  <c r="J107" i="4"/>
  <c r="I108" i="4"/>
  <c r="J108" i="4"/>
  <c r="I109" i="4"/>
  <c r="J109" i="4"/>
  <c r="I110" i="4"/>
  <c r="J110" i="4"/>
  <c r="I103" i="4"/>
  <c r="J103" i="4"/>
  <c r="I104" i="4"/>
  <c r="J104" i="4"/>
  <c r="I105" i="4"/>
  <c r="J105" i="4"/>
  <c r="I56" i="4"/>
  <c r="J56" i="4"/>
  <c r="I57" i="4"/>
  <c r="J57" i="4"/>
  <c r="I58" i="4"/>
  <c r="J58" i="4"/>
  <c r="I59" i="4"/>
  <c r="J59" i="4"/>
  <c r="I60" i="4"/>
  <c r="J60" i="4"/>
  <c r="I61" i="4"/>
  <c r="J61" i="4"/>
  <c r="I62" i="4"/>
  <c r="J62" i="4"/>
  <c r="I63" i="4"/>
  <c r="J63" i="4"/>
  <c r="I64" i="4"/>
  <c r="J64" i="4"/>
  <c r="I65" i="4"/>
  <c r="J65" i="4"/>
  <c r="I66" i="4"/>
  <c r="J66" i="4"/>
  <c r="I67" i="4"/>
  <c r="J67" i="4"/>
  <c r="I68" i="4"/>
  <c r="J68" i="4"/>
  <c r="I69" i="4"/>
  <c r="J69" i="4"/>
  <c r="I70" i="4"/>
  <c r="J70" i="4"/>
  <c r="I71" i="4"/>
  <c r="J71" i="4"/>
  <c r="I72" i="4"/>
  <c r="J72" i="4"/>
  <c r="I73" i="4"/>
  <c r="J73" i="4"/>
  <c r="I74" i="4"/>
  <c r="J74" i="4"/>
  <c r="I75" i="4"/>
  <c r="J75" i="4"/>
  <c r="I76" i="4"/>
  <c r="J76" i="4"/>
  <c r="I77" i="4"/>
  <c r="J77" i="4"/>
  <c r="I78" i="4"/>
  <c r="J78" i="4"/>
  <c r="I79" i="4"/>
  <c r="J79" i="4"/>
  <c r="I80" i="4"/>
  <c r="J80" i="4"/>
  <c r="I81" i="4"/>
  <c r="J81" i="4"/>
  <c r="I82" i="4"/>
  <c r="J82" i="4"/>
  <c r="I83" i="4"/>
  <c r="J83" i="4"/>
  <c r="I84" i="4"/>
  <c r="J84" i="4"/>
  <c r="I85" i="4"/>
  <c r="J85" i="4"/>
  <c r="I86" i="4"/>
  <c r="J86" i="4"/>
  <c r="I87" i="4"/>
  <c r="J87" i="4"/>
  <c r="I88" i="4"/>
  <c r="J88" i="4"/>
  <c r="I89" i="4"/>
  <c r="J89" i="4"/>
  <c r="I90" i="4"/>
  <c r="J90" i="4"/>
  <c r="I91" i="4"/>
  <c r="J91" i="4"/>
  <c r="I92" i="4"/>
  <c r="J92" i="4"/>
  <c r="I93" i="4"/>
  <c r="J93" i="4"/>
  <c r="I94" i="4"/>
  <c r="J94" i="4"/>
  <c r="I95" i="4"/>
  <c r="J95" i="4"/>
  <c r="I96" i="4"/>
  <c r="J96" i="4"/>
  <c r="I97" i="4"/>
  <c r="J97" i="4"/>
  <c r="I98" i="4"/>
  <c r="J98" i="4"/>
  <c r="I99" i="4"/>
  <c r="J99" i="4"/>
  <c r="I100" i="4"/>
  <c r="J100" i="4"/>
  <c r="I101" i="4"/>
  <c r="J101" i="4"/>
  <c r="I102" i="4"/>
  <c r="J102" i="4"/>
  <c r="I3" i="4"/>
  <c r="J3" i="4"/>
  <c r="I4" i="4"/>
  <c r="J4" i="4"/>
  <c r="I5" i="4"/>
  <c r="J5" i="4"/>
  <c r="I6" i="4"/>
  <c r="J6" i="4"/>
  <c r="I7" i="4"/>
  <c r="J7" i="4"/>
  <c r="I8" i="4"/>
  <c r="J8" i="4"/>
  <c r="I9" i="4"/>
  <c r="J9" i="4"/>
  <c r="I10" i="4"/>
  <c r="J10" i="4"/>
  <c r="I11" i="4"/>
  <c r="J11" i="4"/>
  <c r="I12" i="4"/>
  <c r="J12" i="4"/>
  <c r="I13" i="4"/>
  <c r="J13" i="4"/>
  <c r="I14" i="4"/>
  <c r="J14" i="4"/>
  <c r="I15" i="4"/>
  <c r="J15" i="4"/>
  <c r="I16" i="4"/>
  <c r="J16" i="4"/>
  <c r="I17" i="4"/>
  <c r="J17" i="4"/>
  <c r="I18" i="4"/>
  <c r="J18" i="4"/>
  <c r="I19" i="4"/>
  <c r="J19" i="4"/>
  <c r="I20" i="4"/>
  <c r="J20" i="4"/>
  <c r="I21" i="4"/>
  <c r="J21" i="4"/>
  <c r="I22" i="4"/>
  <c r="J22" i="4"/>
  <c r="I23" i="4"/>
  <c r="J23" i="4"/>
  <c r="I24" i="4"/>
  <c r="J24" i="4"/>
  <c r="I25" i="4"/>
  <c r="J25" i="4"/>
  <c r="I26" i="4"/>
  <c r="J26" i="4"/>
  <c r="I27" i="4"/>
  <c r="J27" i="4"/>
  <c r="I28" i="4"/>
  <c r="J28" i="4"/>
  <c r="I29" i="4"/>
  <c r="J29" i="4"/>
  <c r="I30" i="4"/>
  <c r="J30" i="4"/>
  <c r="I31" i="4"/>
  <c r="J31" i="4"/>
  <c r="I32" i="4"/>
  <c r="J32" i="4"/>
  <c r="I33" i="4"/>
  <c r="J33" i="4"/>
  <c r="I34" i="4"/>
  <c r="J34" i="4"/>
  <c r="I35" i="4"/>
  <c r="J35" i="4"/>
  <c r="I36" i="4"/>
  <c r="J36" i="4"/>
  <c r="I37" i="4"/>
  <c r="J37" i="4"/>
  <c r="I38" i="4"/>
  <c r="J38" i="4"/>
  <c r="I39" i="4"/>
  <c r="J39" i="4"/>
  <c r="I40" i="4"/>
  <c r="J40" i="4"/>
  <c r="I41" i="4"/>
  <c r="J41" i="4"/>
  <c r="I42" i="4"/>
  <c r="J42" i="4"/>
  <c r="I43" i="4"/>
  <c r="J43" i="4"/>
  <c r="I44" i="4"/>
  <c r="J44" i="4"/>
  <c r="I45" i="4"/>
  <c r="J45" i="4"/>
  <c r="I46" i="4"/>
  <c r="J46" i="4"/>
  <c r="I47" i="4"/>
  <c r="J47" i="4"/>
  <c r="I48" i="4"/>
  <c r="J48" i="4"/>
  <c r="I49" i="4"/>
  <c r="J49" i="4"/>
  <c r="I50" i="4"/>
  <c r="J50" i="4"/>
  <c r="I51" i="4"/>
  <c r="J51" i="4"/>
  <c r="I52" i="4"/>
  <c r="J52" i="4"/>
  <c r="I53" i="4"/>
  <c r="J53" i="4"/>
  <c r="I54" i="4"/>
  <c r="J54" i="4"/>
  <c r="I55" i="4"/>
  <c r="J55" i="4"/>
  <c r="J2" i="4"/>
  <c r="I2" i="4"/>
  <c r="B4" i="4"/>
  <c r="B5" i="4" s="1"/>
  <c r="B7" i="4" s="1"/>
  <c r="B19" i="4" s="1"/>
  <c r="H11" i="1"/>
  <c r="H10" i="1"/>
  <c r="H9" i="1"/>
  <c r="H8" i="1"/>
  <c r="H67" i="1"/>
  <c r="F67" i="1"/>
  <c r="D67" i="1"/>
  <c r="C92" i="1"/>
  <c r="C82" i="1"/>
  <c r="C88" i="1" s="1"/>
  <c r="C81" i="1"/>
  <c r="C87" i="1" s="1"/>
  <c r="C80" i="1"/>
  <c r="C86" i="1" s="1"/>
  <c r="C79" i="1"/>
  <c r="C85" i="1" s="1"/>
  <c r="I76" i="1"/>
  <c r="H76" i="1"/>
  <c r="F76" i="1"/>
  <c r="F88" i="1" s="1"/>
  <c r="I75" i="1"/>
  <c r="H75" i="1"/>
  <c r="F75" i="1"/>
  <c r="F87" i="1" s="1"/>
  <c r="I74" i="1"/>
  <c r="H74" i="1"/>
  <c r="F74" i="1"/>
  <c r="F86" i="1" s="1"/>
  <c r="I73" i="1"/>
  <c r="H73" i="1"/>
  <c r="F73" i="1"/>
  <c r="G73" i="1" s="1"/>
  <c r="B68" i="1"/>
  <c r="B69" i="1" s="1"/>
  <c r="H66" i="1"/>
  <c r="H68" i="1" s="1"/>
  <c r="H69" i="1" s="1"/>
  <c r="F66" i="1"/>
  <c r="F68" i="1" s="1"/>
  <c r="F69" i="1" s="1"/>
  <c r="D66" i="1"/>
  <c r="D68" i="1" l="1"/>
  <c r="D69" i="1" s="1"/>
  <c r="G75" i="1"/>
  <c r="G74" i="1"/>
  <c r="F85" i="1"/>
  <c r="G76" i="1"/>
  <c r="H46" i="1" l="1"/>
  <c r="H45" i="1"/>
  <c r="H44" i="1"/>
  <c r="H43" i="1"/>
  <c r="C62" i="1" l="1"/>
  <c r="F4" i="3"/>
  <c r="B4" i="3"/>
  <c r="B3" i="3"/>
  <c r="F15" i="1"/>
  <c r="F16" i="1"/>
  <c r="F17" i="1"/>
  <c r="F14" i="1"/>
  <c r="H36" i="1"/>
  <c r="H38" i="1" s="1"/>
  <c r="H39" i="1" s="1"/>
  <c r="F36" i="1"/>
  <c r="F38" i="1" s="1"/>
  <c r="F39" i="1" s="1"/>
  <c r="D36" i="1"/>
  <c r="F58" i="1"/>
  <c r="F57" i="1"/>
  <c r="F56" i="1"/>
  <c r="F55" i="1"/>
  <c r="F23" i="1"/>
  <c r="F22" i="1"/>
  <c r="F21" i="1"/>
  <c r="F20" i="1"/>
  <c r="C58" i="1"/>
  <c r="C52" i="1"/>
  <c r="C51" i="1"/>
  <c r="C57" i="1" s="1"/>
  <c r="C50" i="1"/>
  <c r="C56" i="1" s="1"/>
  <c r="C49" i="1"/>
  <c r="C55" i="1" s="1"/>
  <c r="I46" i="1"/>
  <c r="F46" i="1"/>
  <c r="G46" i="1" s="1"/>
  <c r="I45" i="1"/>
  <c r="F45" i="1"/>
  <c r="G45" i="1" s="1"/>
  <c r="I44" i="1"/>
  <c r="F44" i="1"/>
  <c r="G44" i="1" s="1"/>
  <c r="I43" i="1"/>
  <c r="F43" i="1"/>
  <c r="G43" i="1" s="1"/>
  <c r="D38" i="1"/>
  <c r="D39" i="1" s="1"/>
  <c r="B38" i="1"/>
  <c r="B39" i="1" s="1"/>
  <c r="C21" i="1"/>
  <c r="C22" i="1"/>
  <c r="C23" i="1"/>
  <c r="C20" i="1"/>
  <c r="I11" i="1"/>
  <c r="I10" i="1"/>
  <c r="I9" i="1"/>
  <c r="I8" i="1"/>
  <c r="C15" i="1"/>
  <c r="C16" i="1"/>
  <c r="C17" i="1"/>
  <c r="C14" i="1"/>
  <c r="G9" i="1"/>
  <c r="G10" i="1"/>
  <c r="G11" i="1"/>
  <c r="G8" i="1"/>
  <c r="F11" i="1"/>
  <c r="F10" i="1"/>
  <c r="F9" i="1"/>
  <c r="F8" i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2" i="2"/>
  <c r="D4" i="1"/>
  <c r="D5" i="1" s="1"/>
  <c r="B5" i="1"/>
  <c r="B4" i="1"/>
</calcChain>
</file>

<file path=xl/sharedStrings.xml><?xml version="1.0" encoding="utf-8"?>
<sst xmlns="http://schemas.openxmlformats.org/spreadsheetml/2006/main" count="1152" uniqueCount="96">
  <si>
    <t>Gantenerumab</t>
  </si>
  <si>
    <t>Dose</t>
  </si>
  <si>
    <t>mg</t>
  </si>
  <si>
    <t>MW</t>
  </si>
  <si>
    <t>g / mol</t>
  </si>
  <si>
    <t>mmol</t>
  </si>
  <si>
    <t>nmol</t>
  </si>
  <si>
    <t>Gant300</t>
  </si>
  <si>
    <t>Time (days)</t>
  </si>
  <si>
    <t>Conc (nM)</t>
  </si>
  <si>
    <t>series</t>
  </si>
  <si>
    <t>model</t>
  </si>
  <si>
    <t>data</t>
  </si>
  <si>
    <t>observation</t>
  </si>
  <si>
    <t>time</t>
  </si>
  <si>
    <t>Monomer</t>
  </si>
  <si>
    <t>Oligomer</t>
  </si>
  <si>
    <t>protofibril</t>
  </si>
  <si>
    <t>fibril</t>
  </si>
  <si>
    <t>ka (M-1 s-1)</t>
  </si>
  <si>
    <t>kd (s-1)</t>
  </si>
  <si>
    <t>KD (nM)</t>
  </si>
  <si>
    <t>Soderberg 2022</t>
  </si>
  <si>
    <t>Geerts 2023</t>
  </si>
  <si>
    <t>Oligomers</t>
  </si>
  <si>
    <t>Protofibrils</t>
  </si>
  <si>
    <t>Plaques</t>
  </si>
  <si>
    <t>Affinity (nM)</t>
  </si>
  <si>
    <t>ka (nM-1 s-1)</t>
  </si>
  <si>
    <t>Ka (nM-1)</t>
  </si>
  <si>
    <t>Esguerra</t>
  </si>
  <si>
    <t>fta2</t>
  </si>
  <si>
    <t>fta1</t>
  </si>
  <si>
    <t>fta3</t>
  </si>
  <si>
    <t>ka (nM-1 h-1)</t>
  </si>
  <si>
    <t>fta0</t>
  </si>
  <si>
    <t>(nM-1 h-1)</t>
  </si>
  <si>
    <t>factor</t>
  </si>
  <si>
    <t>k0_Antibody</t>
  </si>
  <si>
    <t>=</t>
  </si>
  <si>
    <t>;</t>
  </si>
  <si>
    <t>k0_Antibody has nanomol/(L*h)</t>
  </si>
  <si>
    <t>k1_Antibody</t>
  </si>
  <si>
    <t>k2_Antibody</t>
  </si>
  <si>
    <t>k3_Antibody</t>
  </si>
  <si>
    <t>full_2bPK</t>
  </si>
  <si>
    <t>Lecanemab</t>
  </si>
  <si>
    <t>Kd calc nM</t>
  </si>
  <si>
    <t>Ratio ka/fta</t>
  </si>
  <si>
    <t>kg</t>
  </si>
  <si>
    <t>mg/kg</t>
  </si>
  <si>
    <t>mmol/kg</t>
  </si>
  <si>
    <t>nmol/kg</t>
  </si>
  <si>
    <t>Ratio ka/Ka</t>
  </si>
  <si>
    <t>half-life</t>
  </si>
  <si>
    <t>day</t>
  </si>
  <si>
    <t>h</t>
  </si>
  <si>
    <t>k</t>
  </si>
  <si>
    <t>BBB</t>
  </si>
  <si>
    <t>BCSFB</t>
  </si>
  <si>
    <t>fBBB</t>
  </si>
  <si>
    <t>Doses</t>
  </si>
  <si>
    <t>Q2</t>
  </si>
  <si>
    <t>1.5 years</t>
  </si>
  <si>
    <t>kd (h-1)</t>
  </si>
  <si>
    <t>Aducanemab</t>
  </si>
  <si>
    <t>kd (h)</t>
  </si>
  <si>
    <t>mg/mmol</t>
  </si>
  <si>
    <t>Time (h)</t>
  </si>
  <si>
    <t>36mg</t>
  </si>
  <si>
    <t>measurement</t>
  </si>
  <si>
    <t>36mgsim</t>
  </si>
  <si>
    <t>plasma</t>
  </si>
  <si>
    <t>CSF</t>
  </si>
  <si>
    <t>36mgdata</t>
  </si>
  <si>
    <t>30mg</t>
  </si>
  <si>
    <t>Bloomingdale</t>
  </si>
  <si>
    <t>kon</t>
  </si>
  <si>
    <t>1/nM/h</t>
  </si>
  <si>
    <t>1/M/h</t>
  </si>
  <si>
    <t>FcRn</t>
  </si>
  <si>
    <t>M</t>
  </si>
  <si>
    <t>nM</t>
  </si>
  <si>
    <t>BDPlasma</t>
  </si>
  <si>
    <t>BDCSF</t>
  </si>
  <si>
    <t>BDBrainISF</t>
  </si>
  <si>
    <t>V_Plasma</t>
  </si>
  <si>
    <t>Conc_IV</t>
  </si>
  <si>
    <t>Conc (ng/mL)</t>
  </si>
  <si>
    <t>Serum Conc (nmol/mL)</t>
  </si>
  <si>
    <t>measurement_unit</t>
  </si>
  <si>
    <t>18mg</t>
  </si>
  <si>
    <t>6mg</t>
  </si>
  <si>
    <t>AntibodySerum</t>
  </si>
  <si>
    <t>AntibodySerumData</t>
  </si>
  <si>
    <t>AntibodyCSFData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</si>
</sst>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1284A-65FD-4363-98F8-38BED9A8E5ED}">
  <dimension ref="A1:I92"/>
  <sheetViews>
    <sheetView topLeftCell="A31" workbookViewId="0">
      <selection activeCell="I11" sqref="I11"/>
    </sheetView>
  </sheetViews>
  <sheetFormatPr defaultRowHeight="14.6" x14ac:dyDescent="0.4"/>
  <cols>
    <col min="1" max="1" width="11.07421875" customWidth="1"/>
    <col min="2" max="2" width="11.3046875" customWidth="1"/>
  </cols>
  <sheetData>
    <row r="1" spans="1:9" x14ac:dyDescent="0.4">
      <c r="A1" t="s">
        <v>0</v>
      </c>
    </row>
    <row r="2" spans="1:9" x14ac:dyDescent="0.4">
      <c r="A2" t="s">
        <v>1</v>
      </c>
      <c r="B2">
        <v>300</v>
      </c>
      <c r="C2" t="s">
        <v>2</v>
      </c>
      <c r="D2">
        <v>1200</v>
      </c>
      <c r="E2" t="s">
        <v>2</v>
      </c>
    </row>
    <row r="3" spans="1:9" x14ac:dyDescent="0.4">
      <c r="A3" t="s">
        <v>3</v>
      </c>
      <c r="B3">
        <v>146300</v>
      </c>
      <c r="C3" t="s">
        <v>4</v>
      </c>
      <c r="D3">
        <v>146300</v>
      </c>
      <c r="E3" t="s">
        <v>4</v>
      </c>
    </row>
    <row r="4" spans="1:9" x14ac:dyDescent="0.4">
      <c r="A4" t="s">
        <v>1</v>
      </c>
      <c r="B4">
        <f>B2/B3</f>
        <v>2.050580997949419E-3</v>
      </c>
      <c r="C4" t="s">
        <v>5</v>
      </c>
      <c r="D4">
        <f>D2/D3</f>
        <v>8.2023239917976762E-3</v>
      </c>
      <c r="E4" t="s">
        <v>5</v>
      </c>
    </row>
    <row r="5" spans="1:9" x14ac:dyDescent="0.4">
      <c r="A5" t="s">
        <v>1</v>
      </c>
      <c r="B5">
        <f>B4*1000*1000</f>
        <v>2050.5809979494193</v>
      </c>
      <c r="C5" t="s">
        <v>6</v>
      </c>
      <c r="D5">
        <f>D4*1000*1000</f>
        <v>8202.3239917976771</v>
      </c>
      <c r="E5" t="s">
        <v>6</v>
      </c>
    </row>
    <row r="7" spans="1:9" x14ac:dyDescent="0.4">
      <c r="A7" t="s">
        <v>22</v>
      </c>
      <c r="B7" t="s">
        <v>19</v>
      </c>
      <c r="C7" t="s">
        <v>20</v>
      </c>
      <c r="D7" t="s">
        <v>21</v>
      </c>
      <c r="F7" t="s">
        <v>28</v>
      </c>
      <c r="G7" t="s">
        <v>34</v>
      </c>
      <c r="H7" t="s">
        <v>66</v>
      </c>
      <c r="I7" t="s">
        <v>47</v>
      </c>
    </row>
    <row r="8" spans="1:9" x14ac:dyDescent="0.4">
      <c r="A8" t="s">
        <v>15</v>
      </c>
      <c r="B8">
        <v>37000</v>
      </c>
      <c r="C8" s="1">
        <v>4.8000000000000001E-2</v>
      </c>
      <c r="D8">
        <v>1300</v>
      </c>
      <c r="F8">
        <f>B8/1000000000</f>
        <v>3.6999999999999998E-5</v>
      </c>
      <c r="G8">
        <f>F8*3600</f>
        <v>0.13319999999999999</v>
      </c>
      <c r="H8" s="1">
        <f t="shared" ref="H8:H11" si="0">C8*3600</f>
        <v>172.8</v>
      </c>
      <c r="I8" s="1">
        <f>C8/B8*1000000000</f>
        <v>1297.2972972972973</v>
      </c>
    </row>
    <row r="9" spans="1:9" x14ac:dyDescent="0.4">
      <c r="A9" t="s">
        <v>16</v>
      </c>
      <c r="B9">
        <v>460000</v>
      </c>
      <c r="C9" s="1">
        <v>2.5999999999999999E-3</v>
      </c>
      <c r="D9">
        <v>5.7</v>
      </c>
      <c r="F9">
        <f t="shared" ref="F9:F11" si="1">B9/1000000000</f>
        <v>4.6000000000000001E-4</v>
      </c>
      <c r="G9">
        <f t="shared" ref="G9:G11" si="2">F9*3600</f>
        <v>1.6560000000000001</v>
      </c>
      <c r="H9" s="1">
        <f t="shared" si="0"/>
        <v>9.36</v>
      </c>
      <c r="I9" s="1">
        <f t="shared" ref="I9:I11" si="3">C9/B9*1000000000</f>
        <v>5.6521739130434776</v>
      </c>
    </row>
    <row r="10" spans="1:9" x14ac:dyDescent="0.4">
      <c r="A10" t="s">
        <v>17</v>
      </c>
      <c r="B10">
        <v>400000</v>
      </c>
      <c r="C10" s="1">
        <v>9.3999999999999997E-4</v>
      </c>
      <c r="D10">
        <v>2.5</v>
      </c>
      <c r="F10">
        <f t="shared" si="1"/>
        <v>4.0000000000000002E-4</v>
      </c>
      <c r="G10">
        <f t="shared" si="2"/>
        <v>1.4400000000000002</v>
      </c>
      <c r="H10" s="1">
        <f t="shared" si="0"/>
        <v>3.3839999999999999</v>
      </c>
      <c r="I10" s="1">
        <f t="shared" si="3"/>
        <v>2.35</v>
      </c>
    </row>
    <row r="11" spans="1:9" x14ac:dyDescent="0.4">
      <c r="A11" t="s">
        <v>18</v>
      </c>
      <c r="B11">
        <v>140000</v>
      </c>
      <c r="C11" s="1">
        <v>9.3999999999999994E-5</v>
      </c>
      <c r="D11">
        <v>0.69</v>
      </c>
      <c r="F11">
        <f t="shared" si="1"/>
        <v>1.3999999999999999E-4</v>
      </c>
      <c r="G11">
        <f t="shared" si="2"/>
        <v>0.504</v>
      </c>
      <c r="H11" s="1">
        <f t="shared" si="0"/>
        <v>0.33839999999999998</v>
      </c>
      <c r="I11" s="1">
        <f t="shared" si="3"/>
        <v>0.67142857142857137</v>
      </c>
    </row>
    <row r="13" spans="1:9" x14ac:dyDescent="0.4">
      <c r="A13" t="s">
        <v>23</v>
      </c>
      <c r="B13" t="s">
        <v>27</v>
      </c>
      <c r="C13" t="s">
        <v>29</v>
      </c>
      <c r="F13" t="s">
        <v>53</v>
      </c>
    </row>
    <row r="14" spans="1:9" x14ac:dyDescent="0.4">
      <c r="A14" t="s">
        <v>15</v>
      </c>
      <c r="B14">
        <v>1270</v>
      </c>
      <c r="C14">
        <f>1/B14</f>
        <v>7.874015748031496E-4</v>
      </c>
      <c r="F14" s="2">
        <f>G8/B14</f>
        <v>1.0488188976377951E-4</v>
      </c>
    </row>
    <row r="15" spans="1:9" x14ac:dyDescent="0.4">
      <c r="A15" t="s">
        <v>24</v>
      </c>
      <c r="B15">
        <v>30.7</v>
      </c>
      <c r="C15">
        <f t="shared" ref="C15:C17" si="4">1/B15</f>
        <v>3.2573289902280131E-2</v>
      </c>
      <c r="F15" s="2">
        <f t="shared" ref="F15:F17" si="5">G9/B15</f>
        <v>5.39413680781759E-2</v>
      </c>
    </row>
    <row r="16" spans="1:9" x14ac:dyDescent="0.4">
      <c r="A16" t="s">
        <v>25</v>
      </c>
      <c r="B16">
        <v>2.5099999999999998</v>
      </c>
      <c r="C16">
        <f t="shared" si="4"/>
        <v>0.39840637450199207</v>
      </c>
      <c r="F16" s="2">
        <f t="shared" si="5"/>
        <v>0.57370517928286868</v>
      </c>
    </row>
    <row r="17" spans="1:8" x14ac:dyDescent="0.4">
      <c r="A17" t="s">
        <v>26</v>
      </c>
      <c r="B17">
        <v>0.69</v>
      </c>
      <c r="C17">
        <f t="shared" si="4"/>
        <v>1.4492753623188408</v>
      </c>
      <c r="F17" s="2">
        <f t="shared" si="5"/>
        <v>0.73043478260869577</v>
      </c>
    </row>
    <row r="19" spans="1:8" x14ac:dyDescent="0.4">
      <c r="A19" t="s">
        <v>30</v>
      </c>
      <c r="B19" t="s">
        <v>36</v>
      </c>
      <c r="C19" t="s">
        <v>37</v>
      </c>
      <c r="F19" t="s">
        <v>48</v>
      </c>
    </row>
    <row r="20" spans="1:8" x14ac:dyDescent="0.4">
      <c r="A20" t="s">
        <v>35</v>
      </c>
      <c r="B20" s="1">
        <v>7.8740199999999998E-4</v>
      </c>
      <c r="C20" s="1">
        <f>B20/C14</f>
        <v>1.00000054</v>
      </c>
      <c r="F20" s="1">
        <f>F8/B20</f>
        <v>4.6989974625413704E-2</v>
      </c>
    </row>
    <row r="21" spans="1:8" x14ac:dyDescent="0.4">
      <c r="A21" t="s">
        <v>32</v>
      </c>
      <c r="B21">
        <v>3.2573289999999998E-2</v>
      </c>
      <c r="C21" s="1">
        <f t="shared" ref="C21:C23" si="6">B21/C15</f>
        <v>1.0000000029999998</v>
      </c>
      <c r="F21" s="1">
        <f t="shared" ref="F21:F23" si="7">F9/B21</f>
        <v>1.4121999957634001E-2</v>
      </c>
    </row>
    <row r="22" spans="1:8" x14ac:dyDescent="0.4">
      <c r="A22" t="s">
        <v>31</v>
      </c>
      <c r="B22">
        <v>0.39840637450199201</v>
      </c>
      <c r="C22" s="1">
        <f t="shared" si="6"/>
        <v>0.99999999999999989</v>
      </c>
      <c r="F22" s="1">
        <f t="shared" si="7"/>
        <v>1.0040000000000001E-3</v>
      </c>
    </row>
    <row r="23" spans="1:8" x14ac:dyDescent="0.4">
      <c r="A23" t="s">
        <v>33</v>
      </c>
      <c r="B23">
        <v>1.4492753623188399</v>
      </c>
      <c r="C23" s="1">
        <f t="shared" si="6"/>
        <v>0.99999999999999933</v>
      </c>
      <c r="F23" s="1">
        <f t="shared" si="7"/>
        <v>9.6600000000000031E-5</v>
      </c>
    </row>
    <row r="26" spans="1:8" x14ac:dyDescent="0.4">
      <c r="A26" t="s">
        <v>45</v>
      </c>
    </row>
    <row r="27" spans="1:8" x14ac:dyDescent="0.4">
      <c r="A27" t="s">
        <v>38</v>
      </c>
      <c r="E27" t="s">
        <v>39</v>
      </c>
      <c r="F27" s="1">
        <v>7.8740199999999992E-6</v>
      </c>
      <c r="G27" t="s">
        <v>40</v>
      </c>
      <c r="H27" t="s">
        <v>41</v>
      </c>
    </row>
    <row r="28" spans="1:8" x14ac:dyDescent="0.4">
      <c r="A28" t="s">
        <v>42</v>
      </c>
      <c r="E28" t="s">
        <v>39</v>
      </c>
      <c r="F28">
        <v>3.257329E-4</v>
      </c>
      <c r="G28" t="s">
        <v>40</v>
      </c>
      <c r="H28" t="s">
        <v>41</v>
      </c>
    </row>
    <row r="29" spans="1:8" x14ac:dyDescent="0.4">
      <c r="A29" t="s">
        <v>43</v>
      </c>
      <c r="E29" t="s">
        <v>39</v>
      </c>
      <c r="F29">
        <v>3.9840637450199003E-3</v>
      </c>
      <c r="G29" t="s">
        <v>40</v>
      </c>
      <c r="H29" t="s">
        <v>41</v>
      </c>
    </row>
    <row r="30" spans="1:8" x14ac:dyDescent="0.4">
      <c r="A30" t="s">
        <v>44</v>
      </c>
      <c r="E30" t="s">
        <v>39</v>
      </c>
      <c r="F30">
        <v>1.4492753623188401E-2</v>
      </c>
      <c r="G30" t="s">
        <v>40</v>
      </c>
      <c r="H30" t="s">
        <v>41</v>
      </c>
    </row>
    <row r="35" spans="1:9" x14ac:dyDescent="0.4">
      <c r="A35" t="s">
        <v>46</v>
      </c>
      <c r="D35">
        <v>75</v>
      </c>
      <c r="E35" t="s">
        <v>49</v>
      </c>
      <c r="F35">
        <v>70</v>
      </c>
      <c r="G35" t="s">
        <v>49</v>
      </c>
      <c r="H35">
        <v>65</v>
      </c>
      <c r="I35" t="s">
        <v>49</v>
      </c>
    </row>
    <row r="36" spans="1:9" x14ac:dyDescent="0.4">
      <c r="A36" t="s">
        <v>1</v>
      </c>
      <c r="B36">
        <v>10</v>
      </c>
      <c r="C36" t="s">
        <v>50</v>
      </c>
      <c r="D36">
        <f>10*D35</f>
        <v>750</v>
      </c>
      <c r="E36" t="s">
        <v>2</v>
      </c>
      <c r="F36">
        <f>10*F35</f>
        <v>700</v>
      </c>
      <c r="G36" t="s">
        <v>2</v>
      </c>
      <c r="H36">
        <f>10*H35</f>
        <v>650</v>
      </c>
      <c r="I36" t="s">
        <v>2</v>
      </c>
    </row>
    <row r="37" spans="1:9" x14ac:dyDescent="0.4">
      <c r="A37" t="s">
        <v>3</v>
      </c>
      <c r="B37">
        <v>144000</v>
      </c>
      <c r="C37" t="s">
        <v>4</v>
      </c>
      <c r="D37">
        <v>144000</v>
      </c>
      <c r="E37" t="s">
        <v>4</v>
      </c>
      <c r="F37">
        <v>144000</v>
      </c>
      <c r="G37" t="s">
        <v>4</v>
      </c>
      <c r="H37">
        <v>144000</v>
      </c>
      <c r="I37" t="s">
        <v>4</v>
      </c>
    </row>
    <row r="38" spans="1:9" x14ac:dyDescent="0.4">
      <c r="A38" t="s">
        <v>1</v>
      </c>
      <c r="B38">
        <f>B36/B37</f>
        <v>6.9444444444444444E-5</v>
      </c>
      <c r="C38" t="s">
        <v>51</v>
      </c>
      <c r="D38">
        <f>D36/D37</f>
        <v>5.208333333333333E-3</v>
      </c>
      <c r="E38" t="s">
        <v>5</v>
      </c>
      <c r="F38">
        <f>F36/F37</f>
        <v>4.8611111111111112E-3</v>
      </c>
      <c r="G38" t="s">
        <v>5</v>
      </c>
      <c r="H38">
        <f>H36/H37</f>
        <v>4.5138888888888885E-3</v>
      </c>
      <c r="I38" t="s">
        <v>5</v>
      </c>
    </row>
    <row r="39" spans="1:9" x14ac:dyDescent="0.4">
      <c r="A39" t="s">
        <v>1</v>
      </c>
      <c r="B39">
        <f>B38*1000*1000</f>
        <v>69.444444444444443</v>
      </c>
      <c r="C39" t="s">
        <v>52</v>
      </c>
      <c r="D39">
        <f>D38*1000*1000</f>
        <v>5208.333333333333</v>
      </c>
      <c r="E39" t="s">
        <v>6</v>
      </c>
      <c r="F39">
        <f>F38*1000*1000</f>
        <v>4861.1111111111113</v>
      </c>
      <c r="G39" t="s">
        <v>6</v>
      </c>
      <c r="H39">
        <f>H38*1000*1000</f>
        <v>4513.8888888888887</v>
      </c>
      <c r="I39" t="s">
        <v>6</v>
      </c>
    </row>
    <row r="42" spans="1:9" x14ac:dyDescent="0.4">
      <c r="A42" t="s">
        <v>22</v>
      </c>
      <c r="B42" t="s">
        <v>19</v>
      </c>
      <c r="C42" t="s">
        <v>20</v>
      </c>
      <c r="D42" t="s">
        <v>21</v>
      </c>
      <c r="F42" t="s">
        <v>28</v>
      </c>
      <c r="G42" t="s">
        <v>34</v>
      </c>
      <c r="H42" t="s">
        <v>64</v>
      </c>
      <c r="I42" t="s">
        <v>47</v>
      </c>
    </row>
    <row r="43" spans="1:9" x14ac:dyDescent="0.4">
      <c r="A43" t="s">
        <v>15</v>
      </c>
      <c r="B43">
        <v>81000</v>
      </c>
      <c r="C43" s="1">
        <v>0.16</v>
      </c>
      <c r="D43">
        <v>2300</v>
      </c>
      <c r="F43">
        <f>B43/1000000000</f>
        <v>8.1000000000000004E-5</v>
      </c>
      <c r="G43">
        <f>F43*3600</f>
        <v>0.29160000000000003</v>
      </c>
      <c r="H43" s="1">
        <f>C43*3600</f>
        <v>576</v>
      </c>
      <c r="I43" s="2">
        <f>C43/B43*1000000000</f>
        <v>1975.3086419753088</v>
      </c>
    </row>
    <row r="44" spans="1:9" x14ac:dyDescent="0.4">
      <c r="A44" t="s">
        <v>16</v>
      </c>
      <c r="B44">
        <v>530000</v>
      </c>
      <c r="C44" s="1">
        <v>4.4999999999999999E-4</v>
      </c>
      <c r="D44">
        <v>0.97</v>
      </c>
      <c r="F44">
        <f t="shared" ref="F44:F46" si="8">B44/1000000000</f>
        <v>5.2999999999999998E-4</v>
      </c>
      <c r="G44">
        <f t="shared" ref="G44:G46" si="9">F44*3600</f>
        <v>1.9079999999999999</v>
      </c>
      <c r="H44" s="1">
        <f t="shared" ref="H44:H46" si="10">C44*3600</f>
        <v>1.6199999999999999</v>
      </c>
      <c r="I44" s="2">
        <f t="shared" ref="I44:I46" si="11">C44/B44*1000000000</f>
        <v>0.84905660377358483</v>
      </c>
    </row>
    <row r="45" spans="1:9" x14ac:dyDescent="0.4">
      <c r="A45" t="s">
        <v>17</v>
      </c>
      <c r="B45">
        <v>760000</v>
      </c>
      <c r="C45" s="1">
        <v>1.1E-4</v>
      </c>
      <c r="D45">
        <v>0.16</v>
      </c>
      <c r="F45">
        <f t="shared" si="8"/>
        <v>7.6000000000000004E-4</v>
      </c>
      <c r="G45">
        <f t="shared" si="9"/>
        <v>2.7360000000000002</v>
      </c>
      <c r="H45" s="1">
        <f t="shared" si="10"/>
        <v>0.39600000000000002</v>
      </c>
      <c r="I45" s="2">
        <f t="shared" si="11"/>
        <v>0.14473684210526316</v>
      </c>
    </row>
    <row r="46" spans="1:9" x14ac:dyDescent="0.4">
      <c r="A46" t="s">
        <v>18</v>
      </c>
      <c r="B46">
        <v>150000</v>
      </c>
      <c r="C46" s="1">
        <v>2.5000000000000001E-4</v>
      </c>
      <c r="D46">
        <v>1.8</v>
      </c>
      <c r="F46">
        <f t="shared" si="8"/>
        <v>1.4999999999999999E-4</v>
      </c>
      <c r="G46">
        <f t="shared" si="9"/>
        <v>0.53999999999999992</v>
      </c>
      <c r="H46" s="1">
        <f t="shared" si="10"/>
        <v>0.9</v>
      </c>
      <c r="I46" s="2">
        <f t="shared" si="11"/>
        <v>1.6666666666666667</v>
      </c>
    </row>
    <row r="48" spans="1:9" x14ac:dyDescent="0.4">
      <c r="A48" t="s">
        <v>23</v>
      </c>
      <c r="B48" t="s">
        <v>27</v>
      </c>
      <c r="C48" t="s">
        <v>29</v>
      </c>
    </row>
    <row r="49" spans="1:6" x14ac:dyDescent="0.4">
      <c r="A49" t="s">
        <v>15</v>
      </c>
      <c r="B49">
        <v>2290</v>
      </c>
      <c r="C49">
        <f>1/B49</f>
        <v>4.3668122270742359E-4</v>
      </c>
    </row>
    <row r="50" spans="1:6" x14ac:dyDescent="0.4">
      <c r="A50" t="s">
        <v>24</v>
      </c>
      <c r="B50">
        <v>67.3</v>
      </c>
      <c r="C50">
        <f t="shared" ref="C50:C52" si="12">1/B50</f>
        <v>1.485884101040119E-2</v>
      </c>
    </row>
    <row r="51" spans="1:6" x14ac:dyDescent="0.4">
      <c r="A51" t="s">
        <v>25</v>
      </c>
      <c r="B51">
        <v>0.16</v>
      </c>
      <c r="C51">
        <f t="shared" si="12"/>
        <v>6.25</v>
      </c>
    </row>
    <row r="52" spans="1:6" x14ac:dyDescent="0.4">
      <c r="A52" t="s">
        <v>26</v>
      </c>
      <c r="B52">
        <v>1.79</v>
      </c>
      <c r="C52">
        <f t="shared" si="12"/>
        <v>0.55865921787709494</v>
      </c>
    </row>
    <row r="54" spans="1:6" x14ac:dyDescent="0.4">
      <c r="A54" t="s">
        <v>30</v>
      </c>
      <c r="B54" t="s">
        <v>36</v>
      </c>
      <c r="C54" t="s">
        <v>37</v>
      </c>
      <c r="F54" t="s">
        <v>48</v>
      </c>
    </row>
    <row r="55" spans="1:6" x14ac:dyDescent="0.4">
      <c r="A55" t="s">
        <v>35</v>
      </c>
      <c r="B55" s="1">
        <v>4.3668100000000002E-4</v>
      </c>
      <c r="C55" s="1">
        <f>B55/C49</f>
        <v>0.99999948999999999</v>
      </c>
      <c r="F55" s="1">
        <f>F43/B55</f>
        <v>0.18549009459994825</v>
      </c>
    </row>
    <row r="56" spans="1:6" x14ac:dyDescent="0.4">
      <c r="A56" t="s">
        <v>32</v>
      </c>
      <c r="B56">
        <v>1.4858840999999999E-2</v>
      </c>
      <c r="C56" s="1">
        <f t="shared" ref="C56:C58" si="13">B56/C50</f>
        <v>0.99999999929999994</v>
      </c>
      <c r="F56" s="1">
        <f t="shared" ref="F56:F58" si="14">F44/B56</f>
        <v>3.5669000024968298E-2</v>
      </c>
    </row>
    <row r="57" spans="1:6" x14ac:dyDescent="0.4">
      <c r="A57" t="s">
        <v>31</v>
      </c>
      <c r="B57">
        <v>6.25</v>
      </c>
      <c r="C57" s="1">
        <f t="shared" si="13"/>
        <v>1</v>
      </c>
      <c r="F57" s="1">
        <f t="shared" si="14"/>
        <v>1.216E-4</v>
      </c>
    </row>
    <row r="58" spans="1:6" x14ac:dyDescent="0.4">
      <c r="A58" t="s">
        <v>33</v>
      </c>
      <c r="B58">
        <v>0.55865921787709405</v>
      </c>
      <c r="C58" s="1">
        <f t="shared" si="13"/>
        <v>0.99999999999999845</v>
      </c>
      <c r="F58" s="1">
        <f t="shared" si="14"/>
        <v>2.685000000000004E-4</v>
      </c>
    </row>
    <row r="61" spans="1:6" x14ac:dyDescent="0.4">
      <c r="A61" t="s">
        <v>61</v>
      </c>
    </row>
    <row r="62" spans="1:6" x14ac:dyDescent="0.4">
      <c r="A62" t="s">
        <v>62</v>
      </c>
      <c r="B62" t="s">
        <v>63</v>
      </c>
      <c r="C62">
        <f>52/2*1.5</f>
        <v>39</v>
      </c>
    </row>
    <row r="65" spans="1:9" x14ac:dyDescent="0.4">
      <c r="A65" t="s">
        <v>65</v>
      </c>
      <c r="D65">
        <v>75</v>
      </c>
      <c r="E65" t="s">
        <v>49</v>
      </c>
      <c r="F65">
        <v>70</v>
      </c>
      <c r="G65" t="s">
        <v>49</v>
      </c>
      <c r="H65">
        <v>65</v>
      </c>
      <c r="I65" t="s">
        <v>49</v>
      </c>
    </row>
    <row r="66" spans="1:9" x14ac:dyDescent="0.4">
      <c r="A66" t="s">
        <v>1</v>
      </c>
      <c r="B66">
        <v>10</v>
      </c>
      <c r="C66" t="s">
        <v>50</v>
      </c>
      <c r="D66">
        <f>10*D65</f>
        <v>750</v>
      </c>
      <c r="E66" t="s">
        <v>2</v>
      </c>
      <c r="F66">
        <f>10*F65</f>
        <v>700</v>
      </c>
      <c r="G66" t="s">
        <v>2</v>
      </c>
      <c r="H66">
        <f>10*H65</f>
        <v>650</v>
      </c>
      <c r="I66" t="s">
        <v>2</v>
      </c>
    </row>
    <row r="67" spans="1:9" x14ac:dyDescent="0.4">
      <c r="A67" t="s">
        <v>3</v>
      </c>
      <c r="B67">
        <v>145090</v>
      </c>
      <c r="C67" t="s">
        <v>4</v>
      </c>
      <c r="D67">
        <f>$B$67</f>
        <v>145090</v>
      </c>
      <c r="E67" t="s">
        <v>4</v>
      </c>
      <c r="F67">
        <f>$B$67</f>
        <v>145090</v>
      </c>
      <c r="G67" t="s">
        <v>4</v>
      </c>
      <c r="H67">
        <f>$B$67</f>
        <v>145090</v>
      </c>
      <c r="I67" t="s">
        <v>4</v>
      </c>
    </row>
    <row r="68" spans="1:9" x14ac:dyDescent="0.4">
      <c r="A68" t="s">
        <v>1</v>
      </c>
      <c r="B68">
        <f>B66/B67</f>
        <v>6.8922737611137915E-5</v>
      </c>
      <c r="C68" t="s">
        <v>51</v>
      </c>
      <c r="D68">
        <f>D66/D67</f>
        <v>5.1692053208353432E-3</v>
      </c>
      <c r="E68" t="s">
        <v>5</v>
      </c>
      <c r="F68">
        <f>F66/F67</f>
        <v>4.8245916327796538E-3</v>
      </c>
      <c r="G68" t="s">
        <v>5</v>
      </c>
      <c r="H68">
        <f>H66/H67</f>
        <v>4.4799779447239644E-3</v>
      </c>
      <c r="I68" t="s">
        <v>5</v>
      </c>
    </row>
    <row r="69" spans="1:9" x14ac:dyDescent="0.4">
      <c r="A69" t="s">
        <v>1</v>
      </c>
      <c r="B69">
        <f>B68*1000*1000</f>
        <v>68.922737611137919</v>
      </c>
      <c r="C69" t="s">
        <v>52</v>
      </c>
      <c r="D69">
        <f>D68*1000*1000</f>
        <v>5169.2053208353427</v>
      </c>
      <c r="E69" t="s">
        <v>6</v>
      </c>
      <c r="F69">
        <f>F68*1000*1000</f>
        <v>4824.5916327796531</v>
      </c>
      <c r="G69" t="s">
        <v>6</v>
      </c>
      <c r="H69">
        <f>H68*1000*1000</f>
        <v>4479.9779447239644</v>
      </c>
      <c r="I69" t="s">
        <v>6</v>
      </c>
    </row>
    <row r="72" spans="1:9" x14ac:dyDescent="0.4">
      <c r="A72" t="s">
        <v>22</v>
      </c>
      <c r="B72" t="s">
        <v>19</v>
      </c>
      <c r="C72" t="s">
        <v>20</v>
      </c>
      <c r="D72" t="s">
        <v>21</v>
      </c>
      <c r="F72" t="s">
        <v>28</v>
      </c>
      <c r="G72" t="s">
        <v>34</v>
      </c>
      <c r="H72" t="s">
        <v>64</v>
      </c>
      <c r="I72" t="s">
        <v>47</v>
      </c>
    </row>
    <row r="73" spans="1:9" x14ac:dyDescent="0.4">
      <c r="A73" t="s">
        <v>15</v>
      </c>
      <c r="B73">
        <v>20000</v>
      </c>
      <c r="C73" s="1">
        <v>0.15</v>
      </c>
      <c r="D73">
        <v>7300</v>
      </c>
      <c r="F73" s="1">
        <f>B73/1000000000</f>
        <v>2.0000000000000002E-5</v>
      </c>
      <c r="G73">
        <f>F73*3600</f>
        <v>7.2000000000000008E-2</v>
      </c>
      <c r="H73" s="1">
        <f>C73*3600</f>
        <v>540</v>
      </c>
      <c r="I73" s="2">
        <f>C73/B73*1000000000</f>
        <v>7499.9999999999991</v>
      </c>
    </row>
    <row r="74" spans="1:9" x14ac:dyDescent="0.4">
      <c r="A74" t="s">
        <v>16</v>
      </c>
      <c r="B74" s="1">
        <v>25000000</v>
      </c>
      <c r="C74" s="1">
        <v>5.1999999999999998E-2</v>
      </c>
      <c r="D74">
        <v>2.2000000000000002</v>
      </c>
      <c r="F74">
        <f t="shared" ref="F74:F76" si="15">B74/1000000000</f>
        <v>2.5000000000000001E-2</v>
      </c>
      <c r="G74">
        <f t="shared" ref="G74:G76" si="16">F74*3600</f>
        <v>90</v>
      </c>
      <c r="H74" s="1">
        <f t="shared" ref="H74:H76" si="17">C74*3600</f>
        <v>187.2</v>
      </c>
      <c r="I74" s="2">
        <f t="shared" ref="I74:I76" si="18">C74/B74*1000000000</f>
        <v>2.0799999999999996</v>
      </c>
    </row>
    <row r="75" spans="1:9" x14ac:dyDescent="0.4">
      <c r="A75" t="s">
        <v>17</v>
      </c>
      <c r="B75" s="1">
        <v>38000000</v>
      </c>
      <c r="C75" s="1">
        <v>0.03</v>
      </c>
      <c r="D75">
        <v>0.79</v>
      </c>
      <c r="F75">
        <f t="shared" si="15"/>
        <v>3.7999999999999999E-2</v>
      </c>
      <c r="G75">
        <f t="shared" si="16"/>
        <v>136.79999999999998</v>
      </c>
      <c r="H75" s="1">
        <f t="shared" si="17"/>
        <v>108</v>
      </c>
      <c r="I75" s="2">
        <f t="shared" si="18"/>
        <v>0.78947368421052622</v>
      </c>
    </row>
    <row r="76" spans="1:9" x14ac:dyDescent="0.4">
      <c r="A76" t="s">
        <v>18</v>
      </c>
      <c r="B76" s="1">
        <v>2100000</v>
      </c>
      <c r="C76" s="1">
        <v>6.1999999999999998E-3</v>
      </c>
      <c r="D76">
        <v>3.3</v>
      </c>
      <c r="F76">
        <f t="shared" si="15"/>
        <v>2.0999999999999999E-3</v>
      </c>
      <c r="G76">
        <f t="shared" si="16"/>
        <v>7.56</v>
      </c>
      <c r="H76" s="1">
        <f t="shared" si="17"/>
        <v>22.32</v>
      </c>
      <c r="I76" s="2">
        <f t="shared" si="18"/>
        <v>2.9523809523809521</v>
      </c>
    </row>
    <row r="78" spans="1:9" x14ac:dyDescent="0.4">
      <c r="A78" t="s">
        <v>23</v>
      </c>
      <c r="B78" t="s">
        <v>27</v>
      </c>
      <c r="C78" t="s">
        <v>29</v>
      </c>
    </row>
    <row r="79" spans="1:9" x14ac:dyDescent="0.4">
      <c r="A79" t="s">
        <v>15</v>
      </c>
      <c r="B79">
        <v>2290</v>
      </c>
      <c r="C79">
        <f>1/B79</f>
        <v>4.3668122270742359E-4</v>
      </c>
    </row>
    <row r="80" spans="1:9" x14ac:dyDescent="0.4">
      <c r="A80" t="s">
        <v>24</v>
      </c>
      <c r="B80">
        <v>67.3</v>
      </c>
      <c r="C80">
        <f t="shared" ref="C80:C82" si="19">1/B80</f>
        <v>1.485884101040119E-2</v>
      </c>
    </row>
    <row r="81" spans="1:6" x14ac:dyDescent="0.4">
      <c r="A81" t="s">
        <v>25</v>
      </c>
      <c r="B81">
        <v>0.16</v>
      </c>
      <c r="C81">
        <f t="shared" si="19"/>
        <v>6.25</v>
      </c>
    </row>
    <row r="82" spans="1:6" x14ac:dyDescent="0.4">
      <c r="A82" t="s">
        <v>26</v>
      </c>
      <c r="B82">
        <v>1.79</v>
      </c>
      <c r="C82">
        <f t="shared" si="19"/>
        <v>0.55865921787709494</v>
      </c>
    </row>
    <row r="84" spans="1:6" x14ac:dyDescent="0.4">
      <c r="A84" t="s">
        <v>30</v>
      </c>
      <c r="B84" t="s">
        <v>36</v>
      </c>
      <c r="C84" t="s">
        <v>37</v>
      </c>
      <c r="F84" t="s">
        <v>48</v>
      </c>
    </row>
    <row r="85" spans="1:6" x14ac:dyDescent="0.4">
      <c r="A85" t="s">
        <v>35</v>
      </c>
      <c r="B85" s="1">
        <v>4.3668100000000002E-4</v>
      </c>
      <c r="C85" s="1">
        <f>B85/C79</f>
        <v>0.99999948999999999</v>
      </c>
      <c r="F85" s="1">
        <f>F73/B85</f>
        <v>4.5800023358011914E-2</v>
      </c>
    </row>
    <row r="86" spans="1:6" x14ac:dyDescent="0.4">
      <c r="A86" t="s">
        <v>32</v>
      </c>
      <c r="B86">
        <v>1.4858840999999999E-2</v>
      </c>
      <c r="C86" s="1">
        <f t="shared" ref="C86:C88" si="20">B86/C80</f>
        <v>0.99999999929999994</v>
      </c>
      <c r="F86" s="1">
        <f t="shared" ref="F86:F88" si="21">F74/B86</f>
        <v>1.6825000011777502</v>
      </c>
    </row>
    <row r="87" spans="1:6" x14ac:dyDescent="0.4">
      <c r="A87" t="s">
        <v>31</v>
      </c>
      <c r="B87">
        <v>6.25</v>
      </c>
      <c r="C87" s="1">
        <f t="shared" si="20"/>
        <v>1</v>
      </c>
      <c r="F87" s="1">
        <f t="shared" si="21"/>
        <v>6.0799999999999995E-3</v>
      </c>
    </row>
    <row r="88" spans="1:6" x14ac:dyDescent="0.4">
      <c r="A88" t="s">
        <v>33</v>
      </c>
      <c r="B88">
        <v>0.55865921787709405</v>
      </c>
      <c r="C88" s="1">
        <f t="shared" si="20"/>
        <v>0.99999999999999845</v>
      </c>
      <c r="F88" s="1">
        <f t="shared" si="21"/>
        <v>3.7590000000000058E-3</v>
      </c>
    </row>
    <row r="91" spans="1:6" x14ac:dyDescent="0.4">
      <c r="A91" t="s">
        <v>61</v>
      </c>
    </row>
    <row r="92" spans="1:6" x14ac:dyDescent="0.4">
      <c r="A92" t="s">
        <v>62</v>
      </c>
      <c r="B92" t="s">
        <v>63</v>
      </c>
      <c r="C92">
        <f>52/2*1.5</f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780BD-8899-4152-BAFD-B7151A34FC3F}">
  <dimension ref="A1:J110"/>
  <sheetViews>
    <sheetView topLeftCell="A4" workbookViewId="0">
      <selection activeCell="B5" sqref="B5"/>
    </sheetView>
  </sheetViews>
  <sheetFormatPr defaultRowHeight="14.6" x14ac:dyDescent="0.4"/>
  <sheetData>
    <row r="1" spans="1:10" x14ac:dyDescent="0.4">
      <c r="E1" t="s">
        <v>13</v>
      </c>
      <c r="F1" t="s">
        <v>10</v>
      </c>
      <c r="G1" t="s">
        <v>68</v>
      </c>
      <c r="H1" t="s">
        <v>9</v>
      </c>
      <c r="I1" t="s">
        <v>14</v>
      </c>
      <c r="J1" t="s">
        <v>70</v>
      </c>
    </row>
    <row r="2" spans="1:10" x14ac:dyDescent="0.4">
      <c r="B2">
        <v>36</v>
      </c>
      <c r="C2" t="s">
        <v>50</v>
      </c>
      <c r="E2" t="s">
        <v>72</v>
      </c>
      <c r="F2" t="s">
        <v>71</v>
      </c>
      <c r="G2">
        <v>30.2727367036446</v>
      </c>
      <c r="H2">
        <v>7335.7949196745803</v>
      </c>
      <c r="I2">
        <f>G2</f>
        <v>30.2727367036446</v>
      </c>
      <c r="J2">
        <f>H2</f>
        <v>7335.7949196745803</v>
      </c>
    </row>
    <row r="3" spans="1:10" x14ac:dyDescent="0.4">
      <c r="B3">
        <v>147000</v>
      </c>
      <c r="C3" t="s">
        <v>67</v>
      </c>
      <c r="E3" t="s">
        <v>72</v>
      </c>
      <c r="F3" t="s">
        <v>71</v>
      </c>
      <c r="G3">
        <v>104.365071376269</v>
      </c>
      <c r="H3">
        <v>4758.4297729465097</v>
      </c>
      <c r="I3">
        <f t="shared" ref="I3:I55" si="0">G3</f>
        <v>104.365071376269</v>
      </c>
      <c r="J3">
        <f t="shared" ref="J3:J55" si="1">H3</f>
        <v>4758.4297729465097</v>
      </c>
    </row>
    <row r="4" spans="1:10" x14ac:dyDescent="0.4">
      <c r="B4">
        <f>B2/B3</f>
        <v>2.4489795918367346E-4</v>
      </c>
      <c r="C4" t="s">
        <v>51</v>
      </c>
      <c r="E4" t="s">
        <v>72</v>
      </c>
      <c r="F4" t="s">
        <v>71</v>
      </c>
      <c r="G4">
        <v>140.594341023797</v>
      </c>
      <c r="H4">
        <v>4305.6688516914901</v>
      </c>
      <c r="I4">
        <f t="shared" si="0"/>
        <v>140.594341023797</v>
      </c>
      <c r="J4">
        <f t="shared" si="1"/>
        <v>4305.6688516914901</v>
      </c>
    </row>
    <row r="5" spans="1:10" x14ac:dyDescent="0.4">
      <c r="B5">
        <f>B4*1000000</f>
        <v>244.89795918367346</v>
      </c>
      <c r="C5" t="s">
        <v>52</v>
      </c>
      <c r="E5" t="s">
        <v>72</v>
      </c>
      <c r="F5" t="s">
        <v>71</v>
      </c>
      <c r="G5">
        <v>176.90139943176999</v>
      </c>
      <c r="H5">
        <v>4053.3014343078198</v>
      </c>
      <c r="I5">
        <f t="shared" si="0"/>
        <v>176.90139943176999</v>
      </c>
      <c r="J5">
        <f t="shared" si="1"/>
        <v>4053.3014343078198</v>
      </c>
    </row>
    <row r="6" spans="1:10" x14ac:dyDescent="0.4">
      <c r="B6">
        <v>84.8</v>
      </c>
      <c r="C6" t="s">
        <v>49</v>
      </c>
      <c r="E6" t="s">
        <v>72</v>
      </c>
      <c r="F6" t="s">
        <v>71</v>
      </c>
      <c r="G6">
        <v>213.215222079782</v>
      </c>
      <c r="H6">
        <v>3828.8828310744698</v>
      </c>
      <c r="I6">
        <f t="shared" si="0"/>
        <v>213.215222079782</v>
      </c>
      <c r="J6">
        <f t="shared" si="1"/>
        <v>3828.8828310744698</v>
      </c>
    </row>
    <row r="7" spans="1:10" x14ac:dyDescent="0.4">
      <c r="B7">
        <f>B5*B6</f>
        <v>20767.34693877551</v>
      </c>
      <c r="C7" t="s">
        <v>6</v>
      </c>
      <c r="E7" t="s">
        <v>72</v>
      </c>
      <c r="F7" t="s">
        <v>71</v>
      </c>
      <c r="G7">
        <v>249.52566260777499</v>
      </c>
      <c r="H7">
        <v>3610.6700387128399</v>
      </c>
      <c r="I7">
        <f t="shared" si="0"/>
        <v>249.52566260777499</v>
      </c>
      <c r="J7">
        <f t="shared" si="1"/>
        <v>3610.6700387128399</v>
      </c>
    </row>
    <row r="8" spans="1:10" x14ac:dyDescent="0.4">
      <c r="E8" t="s">
        <v>72</v>
      </c>
      <c r="F8" t="s">
        <v>71</v>
      </c>
      <c r="G8">
        <v>285.85301373586498</v>
      </c>
      <c r="H8">
        <v>3434.3200907516598</v>
      </c>
      <c r="I8">
        <f t="shared" si="0"/>
        <v>285.85301373586498</v>
      </c>
      <c r="J8">
        <f t="shared" si="1"/>
        <v>3434.3200907516598</v>
      </c>
    </row>
    <row r="9" spans="1:10" x14ac:dyDescent="0.4">
      <c r="E9" t="s">
        <v>72</v>
      </c>
      <c r="F9" t="s">
        <v>71</v>
      </c>
      <c r="G9">
        <v>322.19727546405102</v>
      </c>
      <c r="H9">
        <v>3294.8145971362901</v>
      </c>
      <c r="I9">
        <f t="shared" si="0"/>
        <v>322.19727546405102</v>
      </c>
      <c r="J9">
        <f t="shared" si="1"/>
        <v>3294.8145971362901</v>
      </c>
    </row>
    <row r="10" spans="1:10" x14ac:dyDescent="0.4">
      <c r="A10" t="s">
        <v>76</v>
      </c>
      <c r="E10" t="s">
        <v>72</v>
      </c>
      <c r="F10" t="s">
        <v>71</v>
      </c>
      <c r="G10">
        <v>358.492834663959</v>
      </c>
      <c r="H10">
        <v>3083.5992653696098</v>
      </c>
      <c r="I10">
        <f t="shared" si="0"/>
        <v>358.492834663959</v>
      </c>
      <c r="J10">
        <f t="shared" si="1"/>
        <v>3083.5992653696098</v>
      </c>
    </row>
    <row r="11" spans="1:10" x14ac:dyDescent="0.4">
      <c r="A11" t="s">
        <v>77</v>
      </c>
      <c r="B11" s="1">
        <v>559000000</v>
      </c>
      <c r="C11" t="s">
        <v>79</v>
      </c>
      <c r="E11" t="s">
        <v>72</v>
      </c>
      <c r="F11" t="s">
        <v>71</v>
      </c>
      <c r="G11">
        <v>394.76618460907201</v>
      </c>
      <c r="H11">
        <v>2853.4918755897702</v>
      </c>
      <c r="I11">
        <f t="shared" si="0"/>
        <v>394.76618460907201</v>
      </c>
      <c r="J11">
        <f t="shared" si="1"/>
        <v>2853.4918755897702</v>
      </c>
    </row>
    <row r="12" spans="1:10" x14ac:dyDescent="0.4">
      <c r="A12" t="s">
        <v>77</v>
      </c>
      <c r="B12" s="1">
        <f>B11/1000000000</f>
        <v>0.55900000000000005</v>
      </c>
      <c r="C12" t="s">
        <v>78</v>
      </c>
      <c r="E12" t="s">
        <v>72</v>
      </c>
      <c r="F12" t="s">
        <v>71</v>
      </c>
      <c r="G12">
        <v>431.16241824822299</v>
      </c>
      <c r="H12">
        <v>2810.9469124050502</v>
      </c>
      <c r="I12">
        <f t="shared" si="0"/>
        <v>431.16241824822299</v>
      </c>
      <c r="J12">
        <f t="shared" si="1"/>
        <v>2810.9469124050502</v>
      </c>
    </row>
    <row r="13" spans="1:10" x14ac:dyDescent="0.4">
      <c r="A13" t="s">
        <v>80</v>
      </c>
      <c r="B13" s="1">
        <v>4.9799999999999998E-5</v>
      </c>
      <c r="C13" t="s">
        <v>81</v>
      </c>
      <c r="E13" t="s">
        <v>72</v>
      </c>
      <c r="F13" t="s">
        <v>71</v>
      </c>
      <c r="G13">
        <v>467.51006209642901</v>
      </c>
      <c r="H13">
        <v>2701.40875485379</v>
      </c>
      <c r="I13">
        <f t="shared" si="0"/>
        <v>467.51006209642901</v>
      </c>
      <c r="J13">
        <f t="shared" si="1"/>
        <v>2701.40875485379</v>
      </c>
    </row>
    <row r="14" spans="1:10" x14ac:dyDescent="0.4">
      <c r="A14" t="s">
        <v>80</v>
      </c>
      <c r="B14" s="1">
        <f>B13*1000000000</f>
        <v>49800</v>
      </c>
      <c r="C14" t="s">
        <v>82</v>
      </c>
      <c r="E14" t="s">
        <v>72</v>
      </c>
      <c r="F14" t="s">
        <v>71</v>
      </c>
      <c r="G14">
        <v>503.83064898447998</v>
      </c>
      <c r="H14">
        <v>2560.6391089618201</v>
      </c>
      <c r="I14">
        <f t="shared" si="0"/>
        <v>503.83064898447998</v>
      </c>
      <c r="J14">
        <f t="shared" si="1"/>
        <v>2560.6391089618201</v>
      </c>
    </row>
    <row r="15" spans="1:10" x14ac:dyDescent="0.4">
      <c r="E15" t="s">
        <v>72</v>
      </c>
      <c r="F15" t="s">
        <v>71</v>
      </c>
      <c r="G15">
        <v>540.15123587253095</v>
      </c>
      <c r="H15">
        <v>2427.2049294886101</v>
      </c>
      <c r="I15">
        <f t="shared" si="0"/>
        <v>540.15123587253095</v>
      </c>
      <c r="J15">
        <f t="shared" si="1"/>
        <v>2427.2049294886101</v>
      </c>
    </row>
    <row r="16" spans="1:10" x14ac:dyDescent="0.4">
      <c r="E16" t="s">
        <v>72</v>
      </c>
      <c r="F16" t="s">
        <v>71</v>
      </c>
      <c r="G16">
        <v>576.48196912063997</v>
      </c>
      <c r="H16">
        <v>2312.6337655884599</v>
      </c>
      <c r="I16">
        <f t="shared" si="0"/>
        <v>576.48196912063997</v>
      </c>
      <c r="J16">
        <f t="shared" si="1"/>
        <v>2312.6337655884599</v>
      </c>
    </row>
    <row r="17" spans="1:10" x14ac:dyDescent="0.4">
      <c r="E17" t="s">
        <v>72</v>
      </c>
      <c r="F17" t="s">
        <v>71</v>
      </c>
      <c r="G17">
        <v>612.82961296884503</v>
      </c>
      <c r="H17">
        <v>2222.5140836209798</v>
      </c>
      <c r="I17">
        <f t="shared" si="0"/>
        <v>612.82961296884503</v>
      </c>
      <c r="J17">
        <f t="shared" si="1"/>
        <v>2222.5140836209798</v>
      </c>
    </row>
    <row r="18" spans="1:10" x14ac:dyDescent="0.4">
      <c r="A18" t="s">
        <v>86</v>
      </c>
      <c r="B18">
        <v>3.1259999999999999</v>
      </c>
      <c r="E18" t="s">
        <v>72</v>
      </c>
      <c r="F18" t="s">
        <v>71</v>
      </c>
      <c r="G18">
        <v>649.15019985689605</v>
      </c>
      <c r="H18">
        <v>2106.6995035508298</v>
      </c>
      <c r="I18">
        <f t="shared" si="0"/>
        <v>649.15019985689605</v>
      </c>
      <c r="J18">
        <f t="shared" si="1"/>
        <v>2106.6995035508298</v>
      </c>
    </row>
    <row r="19" spans="1:10" x14ac:dyDescent="0.4">
      <c r="A19" t="s">
        <v>87</v>
      </c>
      <c r="B19">
        <f>B7/B18</f>
        <v>6643.4251243683657</v>
      </c>
      <c r="C19" t="s">
        <v>82</v>
      </c>
      <c r="E19" t="s">
        <v>72</v>
      </c>
      <c r="F19" t="s">
        <v>71</v>
      </c>
      <c r="G19">
        <v>784.58043179266497</v>
      </c>
      <c r="H19">
        <v>1773.35981239228</v>
      </c>
      <c r="I19">
        <f t="shared" si="0"/>
        <v>784.58043179266497</v>
      </c>
      <c r="J19">
        <f t="shared" si="1"/>
        <v>1773.35981239228</v>
      </c>
    </row>
    <row r="20" spans="1:10" x14ac:dyDescent="0.4">
      <c r="E20" t="s">
        <v>72</v>
      </c>
      <c r="F20" t="s">
        <v>71</v>
      </c>
      <c r="G20">
        <v>820.90101868071599</v>
      </c>
      <c r="H20">
        <v>1680.9505343143301</v>
      </c>
      <c r="I20">
        <f t="shared" si="0"/>
        <v>820.90101868071599</v>
      </c>
      <c r="J20">
        <f t="shared" si="1"/>
        <v>1680.9505343143301</v>
      </c>
    </row>
    <row r="21" spans="1:10" x14ac:dyDescent="0.4">
      <c r="E21" t="s">
        <v>72</v>
      </c>
      <c r="F21" t="s">
        <v>71</v>
      </c>
      <c r="G21">
        <v>857.21822344874795</v>
      </c>
      <c r="H21">
        <v>1590.61676748185</v>
      </c>
      <c r="I21">
        <f t="shared" si="0"/>
        <v>857.21822344874795</v>
      </c>
      <c r="J21">
        <f t="shared" si="1"/>
        <v>1590.61676748185</v>
      </c>
    </row>
    <row r="22" spans="1:10" x14ac:dyDescent="0.4">
      <c r="E22" t="s">
        <v>72</v>
      </c>
      <c r="F22" t="s">
        <v>71</v>
      </c>
      <c r="G22">
        <v>893.565867296953</v>
      </c>
      <c r="H22">
        <v>1528.6329465455001</v>
      </c>
      <c r="I22">
        <f t="shared" si="0"/>
        <v>893.565867296953</v>
      </c>
      <c r="J22">
        <f t="shared" si="1"/>
        <v>1528.6329465455001</v>
      </c>
    </row>
    <row r="23" spans="1:10" x14ac:dyDescent="0.4">
      <c r="E23" t="s">
        <v>72</v>
      </c>
      <c r="F23" t="s">
        <v>71</v>
      </c>
      <c r="G23">
        <v>929.91351114515896</v>
      </c>
      <c r="H23">
        <v>1469.0645371252399</v>
      </c>
      <c r="I23">
        <f t="shared" si="0"/>
        <v>929.91351114515896</v>
      </c>
      <c r="J23">
        <f t="shared" si="1"/>
        <v>1469.0645371252399</v>
      </c>
    </row>
    <row r="24" spans="1:10" x14ac:dyDescent="0.4">
      <c r="E24" t="s">
        <v>72</v>
      </c>
      <c r="F24" t="s">
        <v>71</v>
      </c>
      <c r="G24">
        <v>966.23071591319103</v>
      </c>
      <c r="H24">
        <v>1390.1174588802101</v>
      </c>
      <c r="I24">
        <f t="shared" si="0"/>
        <v>966.23071591319103</v>
      </c>
      <c r="J24">
        <f t="shared" si="1"/>
        <v>1390.1174588802101</v>
      </c>
    </row>
    <row r="25" spans="1:10" x14ac:dyDescent="0.4">
      <c r="E25" t="s">
        <v>72</v>
      </c>
      <c r="F25" t="s">
        <v>71</v>
      </c>
      <c r="G25">
        <v>1002.55130280124</v>
      </c>
      <c r="H25">
        <v>1317.6788314110399</v>
      </c>
      <c r="I25">
        <f t="shared" si="0"/>
        <v>1002.55130280124</v>
      </c>
      <c r="J25">
        <f t="shared" si="1"/>
        <v>1317.6788314110399</v>
      </c>
    </row>
    <row r="26" spans="1:10" x14ac:dyDescent="0.4">
      <c r="E26" t="s">
        <v>72</v>
      </c>
      <c r="F26" t="s">
        <v>71</v>
      </c>
      <c r="G26">
        <v>1038.9023287694599</v>
      </c>
      <c r="H26">
        <v>1268.5122833559501</v>
      </c>
      <c r="I26">
        <f t="shared" si="0"/>
        <v>1038.9023287694599</v>
      </c>
      <c r="J26">
        <f t="shared" si="1"/>
        <v>1268.5122833559501</v>
      </c>
    </row>
    <row r="27" spans="1:10" x14ac:dyDescent="0.4">
      <c r="E27" t="s">
        <v>72</v>
      </c>
      <c r="F27" t="s">
        <v>71</v>
      </c>
      <c r="G27">
        <v>1075.24659049765</v>
      </c>
      <c r="H27">
        <v>1216.9840543119201</v>
      </c>
      <c r="I27">
        <f t="shared" si="0"/>
        <v>1075.24659049765</v>
      </c>
      <c r="J27">
        <f t="shared" si="1"/>
        <v>1216.9840543119201</v>
      </c>
    </row>
    <row r="28" spans="1:10" x14ac:dyDescent="0.4">
      <c r="E28" t="s">
        <v>72</v>
      </c>
      <c r="F28" t="s">
        <v>71</v>
      </c>
      <c r="G28">
        <v>1111.56379526568</v>
      </c>
      <c r="H28">
        <v>1151.5837040000699</v>
      </c>
      <c r="I28">
        <f t="shared" si="0"/>
        <v>1111.56379526568</v>
      </c>
      <c r="J28">
        <f t="shared" si="1"/>
        <v>1151.5837040000699</v>
      </c>
    </row>
    <row r="29" spans="1:10" x14ac:dyDescent="0.4">
      <c r="E29" t="s">
        <v>72</v>
      </c>
      <c r="F29" t="s">
        <v>71</v>
      </c>
      <c r="G29">
        <v>1147.8776179136901</v>
      </c>
      <c r="H29">
        <v>1087.8241217073401</v>
      </c>
      <c r="I29">
        <f t="shared" si="0"/>
        <v>1147.8776179136901</v>
      </c>
      <c r="J29">
        <f t="shared" si="1"/>
        <v>1087.8241217073401</v>
      </c>
    </row>
    <row r="30" spans="1:10" x14ac:dyDescent="0.4">
      <c r="E30" t="s">
        <v>72</v>
      </c>
      <c r="F30" t="s">
        <v>71</v>
      </c>
      <c r="G30">
        <v>1184.2286438819201</v>
      </c>
      <c r="H30">
        <v>1047.2341420549101</v>
      </c>
      <c r="I30">
        <f t="shared" si="0"/>
        <v>1184.2286438819201</v>
      </c>
      <c r="J30">
        <f t="shared" si="1"/>
        <v>1047.2341420549101</v>
      </c>
    </row>
    <row r="31" spans="1:10" x14ac:dyDescent="0.4">
      <c r="E31" t="s">
        <v>72</v>
      </c>
      <c r="F31" t="s">
        <v>71</v>
      </c>
      <c r="G31">
        <v>1220.5796698501399</v>
      </c>
      <c r="H31">
        <v>1008.15869624605</v>
      </c>
      <c r="I31">
        <f t="shared" si="0"/>
        <v>1220.5796698501399</v>
      </c>
      <c r="J31">
        <f t="shared" si="1"/>
        <v>1008.15869624605</v>
      </c>
    </row>
    <row r="32" spans="1:10" x14ac:dyDescent="0.4">
      <c r="E32" t="s">
        <v>72</v>
      </c>
      <c r="F32" t="s">
        <v>71</v>
      </c>
      <c r="G32">
        <v>1256.8968746181699</v>
      </c>
      <c r="H32">
        <v>953.98055671265502</v>
      </c>
      <c r="I32">
        <f t="shared" si="0"/>
        <v>1256.8968746181699</v>
      </c>
      <c r="J32">
        <f t="shared" si="1"/>
        <v>953.98055671265502</v>
      </c>
    </row>
    <row r="33" spans="5:10" x14ac:dyDescent="0.4">
      <c r="E33" t="s">
        <v>72</v>
      </c>
      <c r="F33" t="s">
        <v>71</v>
      </c>
      <c r="G33">
        <v>1293.2174615062299</v>
      </c>
      <c r="H33">
        <v>904.268899816979</v>
      </c>
      <c r="I33">
        <f t="shared" si="0"/>
        <v>1293.2174615062299</v>
      </c>
      <c r="J33">
        <f t="shared" si="1"/>
        <v>904.268899816979</v>
      </c>
    </row>
    <row r="34" spans="5:10" x14ac:dyDescent="0.4">
      <c r="E34" t="s">
        <v>72</v>
      </c>
      <c r="F34" t="s">
        <v>71</v>
      </c>
      <c r="G34">
        <v>1329.56172323441</v>
      </c>
      <c r="H34">
        <v>867.53659883848195</v>
      </c>
      <c r="I34">
        <f t="shared" si="0"/>
        <v>1329.56172323441</v>
      </c>
      <c r="J34">
        <f t="shared" si="1"/>
        <v>867.53659883848195</v>
      </c>
    </row>
    <row r="35" spans="5:10" x14ac:dyDescent="0.4">
      <c r="E35" t="s">
        <v>72</v>
      </c>
      <c r="F35" t="s">
        <v>71</v>
      </c>
      <c r="G35">
        <v>1365.9093670826201</v>
      </c>
      <c r="H35">
        <v>833.73006900837902</v>
      </c>
      <c r="I35">
        <f t="shared" si="0"/>
        <v>1365.9093670826201</v>
      </c>
      <c r="J35">
        <f t="shared" si="1"/>
        <v>833.73006900837902</v>
      </c>
    </row>
    <row r="36" spans="5:10" x14ac:dyDescent="0.4">
      <c r="E36" t="s">
        <v>72</v>
      </c>
      <c r="F36" t="s">
        <v>71</v>
      </c>
      <c r="G36">
        <v>1402.23671821071</v>
      </c>
      <c r="H36">
        <v>793.00957870965499</v>
      </c>
      <c r="I36">
        <f t="shared" si="0"/>
        <v>1402.23671821071</v>
      </c>
      <c r="J36">
        <f t="shared" si="1"/>
        <v>793.00957870965499</v>
      </c>
    </row>
    <row r="37" spans="5:10" x14ac:dyDescent="0.4">
      <c r="E37" t="s">
        <v>72</v>
      </c>
      <c r="F37" t="s">
        <v>71</v>
      </c>
      <c r="G37">
        <v>1438.56745145882</v>
      </c>
      <c r="H37">
        <v>755.57720976836697</v>
      </c>
      <c r="I37">
        <f t="shared" si="0"/>
        <v>1438.56745145882</v>
      </c>
      <c r="J37">
        <f t="shared" si="1"/>
        <v>755.57720976836697</v>
      </c>
    </row>
    <row r="38" spans="5:10" x14ac:dyDescent="0.4">
      <c r="E38" t="s">
        <v>72</v>
      </c>
      <c r="F38" t="s">
        <v>71</v>
      </c>
      <c r="G38">
        <v>1474.8914204668899</v>
      </c>
      <c r="H38">
        <v>717.437989782881</v>
      </c>
      <c r="I38">
        <f t="shared" si="0"/>
        <v>1474.8914204668899</v>
      </c>
      <c r="J38">
        <f t="shared" si="1"/>
        <v>717.437989782881</v>
      </c>
    </row>
    <row r="39" spans="5:10" x14ac:dyDescent="0.4">
      <c r="E39" t="s">
        <v>72</v>
      </c>
      <c r="F39" t="s">
        <v>71</v>
      </c>
      <c r="G39">
        <v>1511.23906431509</v>
      </c>
      <c r="H39">
        <v>689.480565467509</v>
      </c>
      <c r="I39">
        <f t="shared" si="0"/>
        <v>1511.23906431509</v>
      </c>
      <c r="J39">
        <f t="shared" si="1"/>
        <v>689.480565467509</v>
      </c>
    </row>
    <row r="40" spans="5:10" x14ac:dyDescent="0.4">
      <c r="E40" t="s">
        <v>72</v>
      </c>
      <c r="F40" t="s">
        <v>71</v>
      </c>
      <c r="G40">
        <v>1547.5833260432801</v>
      </c>
      <c r="H40">
        <v>661.47317999322797</v>
      </c>
      <c r="I40">
        <f t="shared" si="0"/>
        <v>1547.5833260432801</v>
      </c>
      <c r="J40">
        <f t="shared" si="1"/>
        <v>661.47317999322797</v>
      </c>
    </row>
    <row r="41" spans="5:10" x14ac:dyDescent="0.4">
      <c r="E41" t="s">
        <v>72</v>
      </c>
      <c r="F41" t="s">
        <v>71</v>
      </c>
      <c r="G41">
        <v>1583.90729505135</v>
      </c>
      <c r="H41">
        <v>628.08404278778801</v>
      </c>
      <c r="I41">
        <f t="shared" si="0"/>
        <v>1583.90729505135</v>
      </c>
      <c r="J41">
        <f t="shared" si="1"/>
        <v>628.08404278778801</v>
      </c>
    </row>
    <row r="42" spans="5:10" x14ac:dyDescent="0.4">
      <c r="E42" t="s">
        <v>72</v>
      </c>
      <c r="F42" t="s">
        <v>71</v>
      </c>
      <c r="G42">
        <v>1620.2278819394</v>
      </c>
      <c r="H42">
        <v>595.35476102516304</v>
      </c>
      <c r="I42">
        <f t="shared" si="0"/>
        <v>1620.2278819394</v>
      </c>
      <c r="J42">
        <f t="shared" si="1"/>
        <v>595.35476102516304</v>
      </c>
    </row>
    <row r="43" spans="5:10" x14ac:dyDescent="0.4">
      <c r="E43" t="s">
        <v>72</v>
      </c>
      <c r="F43" t="s">
        <v>71</v>
      </c>
      <c r="G43">
        <v>1656.5822900276401</v>
      </c>
      <c r="H43">
        <v>574.12755016014398</v>
      </c>
      <c r="I43">
        <f t="shared" si="0"/>
        <v>1656.5822900276401</v>
      </c>
      <c r="J43">
        <f t="shared" si="1"/>
        <v>574.12755016014398</v>
      </c>
    </row>
    <row r="44" spans="5:10" x14ac:dyDescent="0.4">
      <c r="E44" t="s">
        <v>72</v>
      </c>
      <c r="F44" t="s">
        <v>71</v>
      </c>
      <c r="G44">
        <v>1692.9265517558299</v>
      </c>
      <c r="H44">
        <v>550.80591875515097</v>
      </c>
      <c r="I44">
        <f t="shared" si="0"/>
        <v>1692.9265517558299</v>
      </c>
      <c r="J44">
        <f t="shared" si="1"/>
        <v>550.80591875515097</v>
      </c>
    </row>
    <row r="45" spans="5:10" x14ac:dyDescent="0.4">
      <c r="E45" t="s">
        <v>72</v>
      </c>
      <c r="F45" t="s">
        <v>71</v>
      </c>
      <c r="G45">
        <v>1729.24037440384</v>
      </c>
      <c r="H45">
        <v>520.30952046277901</v>
      </c>
      <c r="I45">
        <f t="shared" si="0"/>
        <v>1729.24037440384</v>
      </c>
      <c r="J45">
        <f t="shared" si="1"/>
        <v>520.30952046277901</v>
      </c>
    </row>
    <row r="46" spans="5:10" x14ac:dyDescent="0.4">
      <c r="E46" t="s">
        <v>72</v>
      </c>
      <c r="F46" t="s">
        <v>71</v>
      </c>
      <c r="G46">
        <v>1765.56096129189</v>
      </c>
      <c r="H46">
        <v>493.19633856530999</v>
      </c>
      <c r="I46">
        <f t="shared" si="0"/>
        <v>1765.56096129189</v>
      </c>
      <c r="J46">
        <f t="shared" si="1"/>
        <v>493.19633856530999</v>
      </c>
    </row>
    <row r="47" spans="5:10" x14ac:dyDescent="0.4">
      <c r="E47" t="s">
        <v>72</v>
      </c>
      <c r="F47" t="s">
        <v>71</v>
      </c>
      <c r="G47">
        <v>1801.91198726012</v>
      </c>
      <c r="H47">
        <v>474.79370440088201</v>
      </c>
      <c r="I47">
        <f t="shared" si="0"/>
        <v>1801.91198726012</v>
      </c>
      <c r="J47">
        <f t="shared" si="1"/>
        <v>474.79370440088201</v>
      </c>
    </row>
    <row r="48" spans="5:10" x14ac:dyDescent="0.4">
      <c r="E48" t="s">
        <v>72</v>
      </c>
      <c r="F48" t="s">
        <v>71</v>
      </c>
      <c r="G48">
        <v>1838.25963110833</v>
      </c>
      <c r="H48">
        <v>456.29174430782803</v>
      </c>
      <c r="I48">
        <f t="shared" si="0"/>
        <v>1838.25963110833</v>
      </c>
      <c r="J48">
        <f t="shared" si="1"/>
        <v>456.29174430782803</v>
      </c>
    </row>
    <row r="49" spans="5:10" x14ac:dyDescent="0.4">
      <c r="E49" t="s">
        <v>72</v>
      </c>
      <c r="F49" t="s">
        <v>71</v>
      </c>
      <c r="G49">
        <v>1874.58360011639</v>
      </c>
      <c r="H49">
        <v>433.25953662775402</v>
      </c>
      <c r="I49">
        <f t="shared" si="0"/>
        <v>1874.58360011639</v>
      </c>
      <c r="J49">
        <f t="shared" si="1"/>
        <v>433.25953662775402</v>
      </c>
    </row>
    <row r="50" spans="5:10" x14ac:dyDescent="0.4">
      <c r="E50" t="s">
        <v>72</v>
      </c>
      <c r="F50" t="s">
        <v>71</v>
      </c>
      <c r="G50">
        <v>1910.91095124448</v>
      </c>
      <c r="H50">
        <v>412.09856209427699</v>
      </c>
      <c r="I50">
        <f t="shared" si="0"/>
        <v>1910.91095124448</v>
      </c>
      <c r="J50">
        <f t="shared" si="1"/>
        <v>412.09856209427699</v>
      </c>
    </row>
    <row r="51" spans="5:10" x14ac:dyDescent="0.4">
      <c r="E51" t="s">
        <v>72</v>
      </c>
      <c r="F51" t="s">
        <v>71</v>
      </c>
      <c r="G51">
        <v>1947.2450666126099</v>
      </c>
      <c r="H51">
        <v>393.32265720216202</v>
      </c>
      <c r="I51">
        <f t="shared" si="0"/>
        <v>1947.2450666126099</v>
      </c>
      <c r="J51">
        <f t="shared" si="1"/>
        <v>393.32265720216202</v>
      </c>
    </row>
    <row r="52" spans="5:10" x14ac:dyDescent="0.4">
      <c r="E52" t="s">
        <v>72</v>
      </c>
      <c r="F52" t="s">
        <v>71</v>
      </c>
      <c r="G52">
        <v>1983.6028568208801</v>
      </c>
      <c r="H52">
        <v>379.95220523746298</v>
      </c>
      <c r="I52">
        <f t="shared" si="0"/>
        <v>1983.6028568208801</v>
      </c>
      <c r="J52">
        <f t="shared" si="1"/>
        <v>379.95220523746298</v>
      </c>
    </row>
    <row r="53" spans="5:10" x14ac:dyDescent="0.4">
      <c r="E53" t="s">
        <v>72</v>
      </c>
      <c r="F53" t="s">
        <v>71</v>
      </c>
      <c r="G53">
        <v>2008.3929510328801</v>
      </c>
      <c r="H53">
        <v>371.22819267834899</v>
      </c>
      <c r="I53">
        <f t="shared" si="0"/>
        <v>2008.3929510328801</v>
      </c>
      <c r="J53">
        <f t="shared" si="1"/>
        <v>371.22819267834899</v>
      </c>
    </row>
    <row r="54" spans="5:10" x14ac:dyDescent="0.4">
      <c r="E54" t="s">
        <v>72</v>
      </c>
      <c r="F54" t="s">
        <v>71</v>
      </c>
      <c r="G54">
        <v>723.22200193177696</v>
      </c>
      <c r="H54">
        <v>1889.05332426827</v>
      </c>
      <c r="I54">
        <f t="shared" si="0"/>
        <v>723.22200193177696</v>
      </c>
      <c r="J54">
        <f t="shared" si="1"/>
        <v>1889.05332426827</v>
      </c>
    </row>
    <row r="55" spans="5:10" x14ac:dyDescent="0.4">
      <c r="E55" t="s">
        <v>72</v>
      </c>
      <c r="F55" t="s">
        <v>71</v>
      </c>
      <c r="G55">
        <v>60.368054496467003</v>
      </c>
      <c r="H55">
        <v>6102.6973720842398</v>
      </c>
      <c r="I55">
        <f t="shared" si="0"/>
        <v>60.368054496467003</v>
      </c>
      <c r="J55">
        <f t="shared" si="1"/>
        <v>6102.6973720842398</v>
      </c>
    </row>
    <row r="56" spans="5:10" x14ac:dyDescent="0.4">
      <c r="E56" t="s">
        <v>73</v>
      </c>
      <c r="F56" t="s">
        <v>71</v>
      </c>
      <c r="G56">
        <v>19.561117586497101</v>
      </c>
      <c r="H56">
        <v>13.6003475585527</v>
      </c>
      <c r="I56">
        <f t="shared" ref="I56:I102" si="2">G56</f>
        <v>19.561117586497101</v>
      </c>
      <c r="J56">
        <f t="shared" ref="J56:J102" si="3">H56</f>
        <v>13.6003475585527</v>
      </c>
    </row>
    <row r="57" spans="5:10" x14ac:dyDescent="0.4">
      <c r="E57" t="s">
        <v>73</v>
      </c>
      <c r="F57" t="s">
        <v>71</v>
      </c>
      <c r="G57">
        <v>54.770339836181897</v>
      </c>
      <c r="H57">
        <v>16.077389449830299</v>
      </c>
      <c r="I57">
        <f t="shared" si="2"/>
        <v>54.770339836181897</v>
      </c>
      <c r="J57">
        <f t="shared" si="3"/>
        <v>16.077389449830299</v>
      </c>
    </row>
    <row r="58" spans="5:10" x14ac:dyDescent="0.4">
      <c r="E58" t="s">
        <v>73</v>
      </c>
      <c r="F58" t="s">
        <v>71</v>
      </c>
      <c r="G58">
        <v>93.109375951794803</v>
      </c>
      <c r="H58">
        <v>15.4865605671247</v>
      </c>
      <c r="I58">
        <f t="shared" si="2"/>
        <v>93.109375951794803</v>
      </c>
      <c r="J58">
        <f t="shared" si="3"/>
        <v>15.4865605671247</v>
      </c>
    </row>
    <row r="59" spans="5:10" x14ac:dyDescent="0.4">
      <c r="E59" t="s">
        <v>73</v>
      </c>
      <c r="F59" t="s">
        <v>71</v>
      </c>
      <c r="G59">
        <v>119.466913686775</v>
      </c>
      <c r="H59">
        <v>14.4663417145946</v>
      </c>
      <c r="I59">
        <f t="shared" si="2"/>
        <v>119.466913686775</v>
      </c>
      <c r="J59">
        <f t="shared" si="3"/>
        <v>14.4663417145946</v>
      </c>
    </row>
    <row r="60" spans="5:10" x14ac:dyDescent="0.4">
      <c r="E60" t="s">
        <v>73</v>
      </c>
      <c r="F60" t="s">
        <v>71</v>
      </c>
      <c r="G60">
        <v>172.301716205422</v>
      </c>
      <c r="H60">
        <v>13.416087606578801</v>
      </c>
      <c r="I60">
        <f t="shared" si="2"/>
        <v>172.301716205422</v>
      </c>
      <c r="J60">
        <f t="shared" si="3"/>
        <v>13.416087606578801</v>
      </c>
    </row>
    <row r="61" spans="5:10" x14ac:dyDescent="0.4">
      <c r="E61" t="s">
        <v>73</v>
      </c>
      <c r="F61" t="s">
        <v>71</v>
      </c>
      <c r="G61">
        <v>198.650460428353</v>
      </c>
      <c r="H61">
        <v>12.476313054707999</v>
      </c>
      <c r="I61">
        <f t="shared" si="2"/>
        <v>198.650460428353</v>
      </c>
      <c r="J61">
        <f t="shared" si="3"/>
        <v>12.476313054707999</v>
      </c>
    </row>
    <row r="62" spans="5:10" x14ac:dyDescent="0.4">
      <c r="E62" t="s">
        <v>73</v>
      </c>
      <c r="F62" t="s">
        <v>71</v>
      </c>
      <c r="G62">
        <v>251.50758493912801</v>
      </c>
      <c r="H62">
        <v>11.7027139530922</v>
      </c>
      <c r="I62">
        <f t="shared" si="2"/>
        <v>251.50758493912801</v>
      </c>
      <c r="J62">
        <f t="shared" si="3"/>
        <v>11.7027139530922</v>
      </c>
    </row>
    <row r="63" spans="5:10" x14ac:dyDescent="0.4">
      <c r="E63" t="s">
        <v>73</v>
      </c>
      <c r="F63" t="s">
        <v>71</v>
      </c>
      <c r="G63">
        <v>279.59496432668402</v>
      </c>
      <c r="H63">
        <v>11.3519921777467</v>
      </c>
      <c r="I63">
        <f t="shared" si="2"/>
        <v>279.59496432668402</v>
      </c>
      <c r="J63">
        <f t="shared" si="3"/>
        <v>11.3519921777467</v>
      </c>
    </row>
    <row r="64" spans="5:10" x14ac:dyDescent="0.4">
      <c r="E64" t="s">
        <v>73</v>
      </c>
      <c r="F64" t="s">
        <v>71</v>
      </c>
      <c r="G64">
        <v>330.75403911306603</v>
      </c>
      <c r="H64">
        <v>10.421174697599399</v>
      </c>
      <c r="I64">
        <f t="shared" si="2"/>
        <v>330.75403911306603</v>
      </c>
      <c r="J64">
        <f t="shared" si="3"/>
        <v>10.421174697599399</v>
      </c>
    </row>
    <row r="65" spans="5:10" x14ac:dyDescent="0.4">
      <c r="E65" t="s">
        <v>73</v>
      </c>
      <c r="F65" t="s">
        <v>71</v>
      </c>
      <c r="G65">
        <v>403.39183076914799</v>
      </c>
      <c r="H65">
        <v>9.3472825396319106</v>
      </c>
      <c r="I65">
        <f t="shared" si="2"/>
        <v>403.39183076914799</v>
      </c>
      <c r="J65">
        <f t="shared" si="3"/>
        <v>9.3472825396319106</v>
      </c>
    </row>
    <row r="66" spans="5:10" x14ac:dyDescent="0.4">
      <c r="E66" t="s">
        <v>73</v>
      </c>
      <c r="F66" t="s">
        <v>71</v>
      </c>
      <c r="G66">
        <v>436.452429749636</v>
      </c>
      <c r="H66">
        <v>9.09520779830933</v>
      </c>
      <c r="I66">
        <f t="shared" si="2"/>
        <v>436.452429749636</v>
      </c>
      <c r="J66">
        <f t="shared" si="3"/>
        <v>9.09520779830933</v>
      </c>
    </row>
    <row r="67" spans="5:10" x14ac:dyDescent="0.4">
      <c r="E67" t="s">
        <v>73</v>
      </c>
      <c r="F67" t="s">
        <v>71</v>
      </c>
      <c r="G67">
        <v>495.87590269891399</v>
      </c>
      <c r="H67">
        <v>8.2893968784458405</v>
      </c>
      <c r="I67">
        <f t="shared" si="2"/>
        <v>495.87590269891399</v>
      </c>
      <c r="J67">
        <f t="shared" si="3"/>
        <v>8.2893968784458405</v>
      </c>
    </row>
    <row r="68" spans="5:10" x14ac:dyDescent="0.4">
      <c r="E68" t="s">
        <v>73</v>
      </c>
      <c r="F68" t="s">
        <v>71</v>
      </c>
      <c r="G68">
        <v>523.95257203974199</v>
      </c>
      <c r="H68">
        <v>7.9972653518545904</v>
      </c>
      <c r="I68">
        <f t="shared" si="2"/>
        <v>523.95257203974199</v>
      </c>
      <c r="J68">
        <f t="shared" si="3"/>
        <v>7.9972653518545904</v>
      </c>
    </row>
    <row r="69" spans="5:10" x14ac:dyDescent="0.4">
      <c r="E69" t="s">
        <v>73</v>
      </c>
      <c r="F69" t="s">
        <v>71</v>
      </c>
      <c r="G69">
        <v>578.48418417210905</v>
      </c>
      <c r="H69">
        <v>7.5733903334684802</v>
      </c>
      <c r="I69">
        <f t="shared" si="2"/>
        <v>578.48418417210905</v>
      </c>
      <c r="J69">
        <f t="shared" si="3"/>
        <v>7.5733903334684802</v>
      </c>
    </row>
    <row r="70" spans="5:10" x14ac:dyDescent="0.4">
      <c r="E70" t="s">
        <v>73</v>
      </c>
      <c r="F70" t="s">
        <v>71</v>
      </c>
      <c r="G70">
        <v>606.57494567968399</v>
      </c>
      <c r="H70">
        <v>7.3590759125554399</v>
      </c>
      <c r="I70">
        <f t="shared" si="2"/>
        <v>606.57494567968399</v>
      </c>
      <c r="J70">
        <f t="shared" si="3"/>
        <v>7.3590759125554399</v>
      </c>
    </row>
    <row r="71" spans="5:10" x14ac:dyDescent="0.4">
      <c r="E71" t="s">
        <v>73</v>
      </c>
      <c r="F71" t="s">
        <v>71</v>
      </c>
      <c r="G71">
        <v>661.02820536493596</v>
      </c>
      <c r="H71">
        <v>6.6966288081187404</v>
      </c>
      <c r="I71">
        <f t="shared" si="2"/>
        <v>661.02820536493596</v>
      </c>
      <c r="J71">
        <f t="shared" si="3"/>
        <v>6.6966288081187404</v>
      </c>
    </row>
    <row r="72" spans="5:10" x14ac:dyDescent="0.4">
      <c r="E72" t="s">
        <v>73</v>
      </c>
      <c r="F72" t="s">
        <v>71</v>
      </c>
      <c r="G72">
        <v>737.39267051736499</v>
      </c>
      <c r="H72">
        <v>6.0105600097262597</v>
      </c>
      <c r="I72">
        <f t="shared" si="2"/>
        <v>737.39267051736499</v>
      </c>
      <c r="J72">
        <f t="shared" si="3"/>
        <v>6.0105600097262597</v>
      </c>
    </row>
    <row r="73" spans="5:10" x14ac:dyDescent="0.4">
      <c r="E73" t="s">
        <v>73</v>
      </c>
      <c r="F73" t="s">
        <v>71</v>
      </c>
      <c r="G73">
        <v>766.76004141058695</v>
      </c>
      <c r="H73">
        <v>5.9448871056263499</v>
      </c>
      <c r="I73">
        <f t="shared" si="2"/>
        <v>766.76004141058695</v>
      </c>
      <c r="J73">
        <f t="shared" si="3"/>
        <v>5.9448871056263499</v>
      </c>
    </row>
    <row r="74" spans="5:10" x14ac:dyDescent="0.4">
      <c r="E74" t="s">
        <v>73</v>
      </c>
      <c r="F74" t="s">
        <v>71</v>
      </c>
      <c r="G74">
        <v>829.48483928988605</v>
      </c>
      <c r="H74">
        <v>5.3903903568601699</v>
      </c>
      <c r="I74">
        <f t="shared" si="2"/>
        <v>829.48483928988605</v>
      </c>
      <c r="J74">
        <f t="shared" si="3"/>
        <v>5.3903903568601699</v>
      </c>
    </row>
    <row r="75" spans="5:10" x14ac:dyDescent="0.4">
      <c r="E75" t="s">
        <v>73</v>
      </c>
      <c r="F75" t="s">
        <v>71</v>
      </c>
      <c r="G75">
        <v>857.56094494404397</v>
      </c>
      <c r="H75">
        <v>5.1989329331947101</v>
      </c>
      <c r="I75">
        <f t="shared" si="2"/>
        <v>857.56094494404397</v>
      </c>
      <c r="J75">
        <f t="shared" si="3"/>
        <v>5.1989329331947101</v>
      </c>
    </row>
    <row r="76" spans="5:10" x14ac:dyDescent="0.4">
      <c r="E76" t="s">
        <v>73</v>
      </c>
      <c r="F76" t="s">
        <v>71</v>
      </c>
      <c r="G76">
        <v>912.07621016298401</v>
      </c>
      <c r="H76">
        <v>4.8825914002191002</v>
      </c>
      <c r="I76">
        <f t="shared" si="2"/>
        <v>912.07621016298401</v>
      </c>
      <c r="J76">
        <f t="shared" si="3"/>
        <v>4.8825914002191002</v>
      </c>
    </row>
    <row r="77" spans="5:10" x14ac:dyDescent="0.4">
      <c r="E77" t="s">
        <v>73</v>
      </c>
      <c r="F77" t="s">
        <v>71</v>
      </c>
      <c r="G77">
        <v>940.10891194355997</v>
      </c>
      <c r="H77">
        <v>4.6062989897503197</v>
      </c>
      <c r="I77">
        <f t="shared" si="2"/>
        <v>940.10891194355997</v>
      </c>
      <c r="J77">
        <f t="shared" si="3"/>
        <v>4.6062989897503197</v>
      </c>
    </row>
    <row r="78" spans="5:10" x14ac:dyDescent="0.4">
      <c r="E78" t="s">
        <v>73</v>
      </c>
      <c r="F78" t="s">
        <v>71</v>
      </c>
      <c r="G78">
        <v>994.64052407592703</v>
      </c>
      <c r="H78">
        <v>4.3621536496785902</v>
      </c>
      <c r="I78">
        <f t="shared" si="2"/>
        <v>994.64052407592703</v>
      </c>
      <c r="J78">
        <f t="shared" si="3"/>
        <v>4.3621536496785902</v>
      </c>
    </row>
    <row r="79" spans="5:10" x14ac:dyDescent="0.4">
      <c r="E79" t="s">
        <v>73</v>
      </c>
      <c r="F79" t="s">
        <v>71</v>
      </c>
      <c r="G79">
        <v>1024.38771912632</v>
      </c>
      <c r="H79">
        <v>4.2402597140045497</v>
      </c>
      <c r="I79">
        <f t="shared" si="2"/>
        <v>1024.38771912632</v>
      </c>
      <c r="J79">
        <f t="shared" si="3"/>
        <v>4.2402597140045497</v>
      </c>
    </row>
    <row r="80" spans="5:10" x14ac:dyDescent="0.4">
      <c r="E80" t="s">
        <v>73</v>
      </c>
      <c r="F80" t="s">
        <v>71</v>
      </c>
      <c r="G80">
        <v>1080.49902288774</v>
      </c>
      <c r="H80">
        <v>3.8631350122597801</v>
      </c>
      <c r="I80">
        <f t="shared" si="2"/>
        <v>1080.49902288774</v>
      </c>
      <c r="J80">
        <f t="shared" si="3"/>
        <v>3.8631350122597801</v>
      </c>
    </row>
    <row r="81" spans="5:10" x14ac:dyDescent="0.4">
      <c r="E81" t="s">
        <v>73</v>
      </c>
      <c r="F81" t="s">
        <v>71</v>
      </c>
      <c r="G81">
        <v>1106.94720143924</v>
      </c>
      <c r="H81">
        <v>3.77898572253461</v>
      </c>
      <c r="I81">
        <f t="shared" si="2"/>
        <v>1106.94720143924</v>
      </c>
      <c r="J81">
        <f t="shared" si="3"/>
        <v>3.77898572253461</v>
      </c>
    </row>
    <row r="82" spans="5:10" x14ac:dyDescent="0.4">
      <c r="E82" t="s">
        <v>73</v>
      </c>
      <c r="F82" t="s">
        <v>71</v>
      </c>
      <c r="G82">
        <v>1163.1005401208899</v>
      </c>
      <c r="H82">
        <v>3.51732417687123</v>
      </c>
      <c r="I82">
        <f t="shared" si="2"/>
        <v>1163.1005401208899</v>
      </c>
      <c r="J82">
        <f t="shared" si="3"/>
        <v>3.51732417687123</v>
      </c>
    </row>
    <row r="83" spans="5:10" x14ac:dyDescent="0.4">
      <c r="E83" t="s">
        <v>73</v>
      </c>
      <c r="F83" t="s">
        <v>71</v>
      </c>
      <c r="G83">
        <v>1189.53857231233</v>
      </c>
      <c r="H83">
        <v>3.4229883123243399</v>
      </c>
      <c r="I83">
        <f t="shared" si="2"/>
        <v>1189.53857231233</v>
      </c>
      <c r="J83">
        <f t="shared" si="3"/>
        <v>3.4229883123243399</v>
      </c>
    </row>
    <row r="84" spans="5:10" x14ac:dyDescent="0.4">
      <c r="E84" t="s">
        <v>73</v>
      </c>
      <c r="F84" t="s">
        <v>71</v>
      </c>
      <c r="G84">
        <v>1245.64456131372</v>
      </c>
      <c r="H84">
        <v>3.1101281425093199</v>
      </c>
      <c r="I84">
        <f t="shared" si="2"/>
        <v>1245.64456131372</v>
      </c>
      <c r="J84">
        <f t="shared" si="3"/>
        <v>3.1101281425093199</v>
      </c>
    </row>
    <row r="85" spans="5:10" x14ac:dyDescent="0.4">
      <c r="E85" t="s">
        <v>73</v>
      </c>
      <c r="F85" t="s">
        <v>71</v>
      </c>
      <c r="G85">
        <v>1273.7296859546</v>
      </c>
      <c r="H85">
        <v>3.0134603214469098</v>
      </c>
      <c r="I85">
        <f t="shared" si="2"/>
        <v>1273.7296859546</v>
      </c>
      <c r="J85">
        <f t="shared" si="3"/>
        <v>3.0134603214469098</v>
      </c>
    </row>
    <row r="86" spans="5:10" x14ac:dyDescent="0.4">
      <c r="E86" t="s">
        <v>73</v>
      </c>
      <c r="F86" t="s">
        <v>71</v>
      </c>
      <c r="G86">
        <v>1328.2629891469701</v>
      </c>
      <c r="H86">
        <v>2.8561961959954298</v>
      </c>
      <c r="I86">
        <f t="shared" si="2"/>
        <v>1328.2629891469701</v>
      </c>
      <c r="J86">
        <f t="shared" si="3"/>
        <v>2.8561961959954298</v>
      </c>
    </row>
    <row r="87" spans="5:10" x14ac:dyDescent="0.4">
      <c r="E87" t="s">
        <v>73</v>
      </c>
      <c r="F87" t="s">
        <v>71</v>
      </c>
      <c r="G87">
        <v>1356.33345793443</v>
      </c>
      <c r="H87">
        <v>2.7468584947382602</v>
      </c>
      <c r="I87">
        <f t="shared" si="2"/>
        <v>1356.33345793443</v>
      </c>
      <c r="J87">
        <f t="shared" si="3"/>
        <v>2.7468584947382602</v>
      </c>
    </row>
    <row r="88" spans="5:10" x14ac:dyDescent="0.4">
      <c r="E88" t="s">
        <v>73</v>
      </c>
      <c r="F88" t="s">
        <v>71</v>
      </c>
      <c r="G88">
        <v>1410.8137745798399</v>
      </c>
      <c r="H88">
        <v>2.5342462893328399</v>
      </c>
      <c r="I88">
        <f t="shared" si="2"/>
        <v>1410.8137745798399</v>
      </c>
      <c r="J88">
        <f t="shared" si="3"/>
        <v>2.5342462893328399</v>
      </c>
    </row>
    <row r="89" spans="5:10" x14ac:dyDescent="0.4">
      <c r="E89" t="s">
        <v>73</v>
      </c>
      <c r="F89" t="s">
        <v>71</v>
      </c>
      <c r="G89">
        <v>1438.8938260406901</v>
      </c>
      <c r="H89">
        <v>2.44914693352663</v>
      </c>
      <c r="I89">
        <f t="shared" si="2"/>
        <v>1438.8938260406901</v>
      </c>
      <c r="J89">
        <f t="shared" si="3"/>
        <v>2.44914693352663</v>
      </c>
    </row>
    <row r="90" spans="5:10" x14ac:dyDescent="0.4">
      <c r="E90" t="s">
        <v>73</v>
      </c>
      <c r="F90" t="s">
        <v>71</v>
      </c>
      <c r="G90">
        <v>1493.42205605303</v>
      </c>
      <c r="H90">
        <v>2.31534774262854</v>
      </c>
      <c r="I90">
        <f t="shared" si="2"/>
        <v>1493.42205605303</v>
      </c>
      <c r="J90">
        <f t="shared" si="3"/>
        <v>2.31534774262854</v>
      </c>
    </row>
    <row r="91" spans="5:10" x14ac:dyDescent="0.4">
      <c r="E91" t="s">
        <v>73</v>
      </c>
      <c r="F91" t="s">
        <v>71</v>
      </c>
      <c r="G91">
        <v>1521.5161996806301</v>
      </c>
      <c r="H91">
        <v>2.2537026610784099</v>
      </c>
      <c r="I91">
        <f t="shared" si="2"/>
        <v>1521.5161996806301</v>
      </c>
      <c r="J91">
        <f t="shared" si="3"/>
        <v>2.2537026610784099</v>
      </c>
    </row>
    <row r="92" spans="5:10" x14ac:dyDescent="0.4">
      <c r="E92" t="s">
        <v>73</v>
      </c>
      <c r="F92" t="s">
        <v>71</v>
      </c>
      <c r="G92">
        <v>1575.9694593658801</v>
      </c>
      <c r="H92">
        <v>2.0508295259412201</v>
      </c>
      <c r="I92">
        <f t="shared" si="2"/>
        <v>1575.9694593658801</v>
      </c>
      <c r="J92">
        <f t="shared" si="3"/>
        <v>2.0508295259412201</v>
      </c>
    </row>
    <row r="93" spans="5:10" x14ac:dyDescent="0.4">
      <c r="E93" t="s">
        <v>73</v>
      </c>
      <c r="F93" t="s">
        <v>71</v>
      </c>
      <c r="G93">
        <v>1604.0765677868801</v>
      </c>
      <c r="H93">
        <v>2.0094405926021</v>
      </c>
      <c r="I93">
        <f t="shared" si="2"/>
        <v>1604.0765677868801</v>
      </c>
      <c r="J93">
        <f t="shared" si="3"/>
        <v>2.0094405926021</v>
      </c>
    </row>
    <row r="94" spans="5:10" x14ac:dyDescent="0.4">
      <c r="E94" t="s">
        <v>73</v>
      </c>
      <c r="F94" t="s">
        <v>71</v>
      </c>
      <c r="G94">
        <v>1658.57097659904</v>
      </c>
      <c r="H94">
        <v>1.8672482973911999</v>
      </c>
      <c r="I94">
        <f t="shared" si="2"/>
        <v>1658.57097659904</v>
      </c>
      <c r="J94">
        <f t="shared" si="3"/>
        <v>1.8672482973911999</v>
      </c>
    </row>
    <row r="95" spans="5:10" x14ac:dyDescent="0.4">
      <c r="E95" t="s">
        <v>73</v>
      </c>
      <c r="F95" t="s">
        <v>71</v>
      </c>
      <c r="G95">
        <v>1684.99750958241</v>
      </c>
      <c r="H95">
        <v>1.8065657241684301</v>
      </c>
      <c r="I95">
        <f t="shared" si="2"/>
        <v>1684.99750958241</v>
      </c>
      <c r="J95">
        <f t="shared" si="3"/>
        <v>1.8065657241684301</v>
      </c>
    </row>
    <row r="96" spans="5:10" x14ac:dyDescent="0.4">
      <c r="E96" t="s">
        <v>73</v>
      </c>
      <c r="F96" t="s">
        <v>71</v>
      </c>
      <c r="G96">
        <v>1741.13190839196</v>
      </c>
      <c r="H96">
        <v>1.66534876971134</v>
      </c>
      <c r="I96">
        <f t="shared" si="2"/>
        <v>1741.13190839196</v>
      </c>
      <c r="J96">
        <f t="shared" si="3"/>
        <v>1.66534876971134</v>
      </c>
    </row>
    <row r="97" spans="5:10" x14ac:dyDescent="0.4">
      <c r="E97" t="s">
        <v>73</v>
      </c>
      <c r="F97" t="s">
        <v>71</v>
      </c>
      <c r="G97">
        <v>1769.2159056595001</v>
      </c>
      <c r="H97">
        <v>1.6126616021450599</v>
      </c>
      <c r="I97">
        <f t="shared" si="2"/>
        <v>1769.2159056595001</v>
      </c>
      <c r="J97">
        <f t="shared" si="3"/>
        <v>1.6126616021450599</v>
      </c>
    </row>
    <row r="98" spans="5:10" x14ac:dyDescent="0.4">
      <c r="E98" t="s">
        <v>73</v>
      </c>
      <c r="F98" t="s">
        <v>71</v>
      </c>
      <c r="G98">
        <v>1823.7131329050001</v>
      </c>
      <c r="H98">
        <v>1.50069701994312</v>
      </c>
      <c r="I98">
        <f t="shared" si="2"/>
        <v>1823.7131329050001</v>
      </c>
      <c r="J98">
        <f t="shared" si="3"/>
        <v>1.50069701994312</v>
      </c>
    </row>
    <row r="99" spans="5:10" x14ac:dyDescent="0.4">
      <c r="E99" t="s">
        <v>73</v>
      </c>
      <c r="F99" t="s">
        <v>71</v>
      </c>
      <c r="G99">
        <v>1853.4211919951699</v>
      </c>
      <c r="H99">
        <v>1.4299981375874999</v>
      </c>
      <c r="I99">
        <f t="shared" si="2"/>
        <v>1853.4211919951699</v>
      </c>
      <c r="J99">
        <f t="shared" si="3"/>
        <v>1.4299981375874999</v>
      </c>
    </row>
    <row r="100" spans="5:10" x14ac:dyDescent="0.4">
      <c r="E100" t="s">
        <v>73</v>
      </c>
      <c r="F100" t="s">
        <v>71</v>
      </c>
      <c r="G100">
        <v>1906.2909752980199</v>
      </c>
      <c r="H100">
        <v>1.3499988271276799</v>
      </c>
      <c r="I100">
        <f t="shared" si="2"/>
        <v>1906.2909752980199</v>
      </c>
      <c r="J100">
        <f t="shared" si="3"/>
        <v>1.3499988271276799</v>
      </c>
    </row>
    <row r="101" spans="5:10" x14ac:dyDescent="0.4">
      <c r="E101" t="s">
        <v>73</v>
      </c>
      <c r="F101" t="s">
        <v>71</v>
      </c>
      <c r="G101">
        <v>1936.0178776283001</v>
      </c>
      <c r="H101">
        <v>1.29879377661768</v>
      </c>
      <c r="I101">
        <f t="shared" si="2"/>
        <v>1936.0178776283001</v>
      </c>
      <c r="J101">
        <f t="shared" si="3"/>
        <v>1.29879377661768</v>
      </c>
    </row>
    <row r="102" spans="5:10" x14ac:dyDescent="0.4">
      <c r="E102" t="s">
        <v>73</v>
      </c>
      <c r="F102" t="s">
        <v>71</v>
      </c>
      <c r="G102">
        <v>1987.2484439897601</v>
      </c>
      <c r="H102">
        <v>1.23647241007604</v>
      </c>
      <c r="I102">
        <f t="shared" si="2"/>
        <v>1987.2484439897601</v>
      </c>
      <c r="J102">
        <f t="shared" si="3"/>
        <v>1.23647241007604</v>
      </c>
    </row>
    <row r="103" spans="5:10" x14ac:dyDescent="0.4">
      <c r="E103" t="s">
        <v>72</v>
      </c>
      <c r="F103" t="s">
        <v>74</v>
      </c>
      <c r="G103">
        <v>73.636317421585005</v>
      </c>
      <c r="H103">
        <v>5221.6521921003996</v>
      </c>
      <c r="I103">
        <f t="shared" ref="I103:I105" si="4">G103</f>
        <v>73.636317421585005</v>
      </c>
      <c r="J103">
        <f t="shared" ref="J103:J105" si="5">H103</f>
        <v>5221.6521921003996</v>
      </c>
    </row>
    <row r="104" spans="5:10" x14ac:dyDescent="0.4">
      <c r="E104" t="s">
        <v>72</v>
      </c>
      <c r="F104" t="s">
        <v>74</v>
      </c>
      <c r="G104">
        <v>383.68664531543902</v>
      </c>
      <c r="H104">
        <v>1733.52618133996</v>
      </c>
      <c r="I104">
        <f t="shared" si="4"/>
        <v>383.68664531543902</v>
      </c>
      <c r="J104">
        <f t="shared" si="5"/>
        <v>1733.52618133996</v>
      </c>
    </row>
    <row r="105" spans="5:10" x14ac:dyDescent="0.4">
      <c r="E105" t="s">
        <v>72</v>
      </c>
      <c r="F105" t="s">
        <v>74</v>
      </c>
      <c r="G105">
        <v>713.56311321234296</v>
      </c>
      <c r="H105">
        <v>1385.57427142083</v>
      </c>
      <c r="I105">
        <f t="shared" si="4"/>
        <v>713.56311321234296</v>
      </c>
      <c r="J105">
        <f t="shared" si="5"/>
        <v>1385.57427142083</v>
      </c>
    </row>
    <row r="106" spans="5:10" x14ac:dyDescent="0.4">
      <c r="E106" t="s">
        <v>73</v>
      </c>
      <c r="F106" t="s">
        <v>74</v>
      </c>
      <c r="G106">
        <v>60.317218240048803</v>
      </c>
      <c r="H106">
        <v>5.9468505102892397</v>
      </c>
      <c r="I106">
        <f t="shared" ref="I106:I110" si="6">G106</f>
        <v>60.317218240048803</v>
      </c>
      <c r="J106">
        <f t="shared" ref="J106:J110" si="7">H106</f>
        <v>5.9468505102892397</v>
      </c>
    </row>
    <row r="107" spans="5:10" x14ac:dyDescent="0.4">
      <c r="E107" t="s">
        <v>73</v>
      </c>
      <c r="F107" t="s">
        <v>74</v>
      </c>
      <c r="G107">
        <v>373.62106654465902</v>
      </c>
      <c r="H107">
        <v>10.338023066009701</v>
      </c>
      <c r="I107">
        <f t="shared" si="6"/>
        <v>373.62106654465902</v>
      </c>
      <c r="J107">
        <f t="shared" si="7"/>
        <v>10.338023066009701</v>
      </c>
    </row>
    <row r="108" spans="5:10" x14ac:dyDescent="0.4">
      <c r="E108" t="s">
        <v>73</v>
      </c>
      <c r="F108" t="s">
        <v>74</v>
      </c>
      <c r="G108">
        <v>372.60434141629798</v>
      </c>
      <c r="H108">
        <v>6.16227738452731</v>
      </c>
      <c r="I108">
        <f t="shared" si="6"/>
        <v>372.60434141629798</v>
      </c>
      <c r="J108">
        <f t="shared" si="7"/>
        <v>6.16227738452731</v>
      </c>
    </row>
    <row r="109" spans="5:10" x14ac:dyDescent="0.4">
      <c r="E109" t="s">
        <v>73</v>
      </c>
      <c r="F109" t="s">
        <v>74</v>
      </c>
      <c r="G109">
        <v>702.37913680036604</v>
      </c>
      <c r="H109">
        <v>4.6770393445988496</v>
      </c>
      <c r="I109">
        <f t="shared" si="6"/>
        <v>702.37913680036604</v>
      </c>
      <c r="J109">
        <f t="shared" si="7"/>
        <v>4.6770393445988496</v>
      </c>
    </row>
    <row r="110" spans="5:10" x14ac:dyDescent="0.4">
      <c r="E110" t="s">
        <v>73</v>
      </c>
      <c r="F110" t="s">
        <v>74</v>
      </c>
      <c r="G110">
        <v>706.39520105739405</v>
      </c>
      <c r="H110">
        <v>3.6101165593270399</v>
      </c>
      <c r="I110">
        <f t="shared" si="6"/>
        <v>706.39520105739405</v>
      </c>
      <c r="J110">
        <f t="shared" si="7"/>
        <v>3.6101165593270399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9A555-319E-4AD3-BDC3-1A3931B7CC4E}">
  <dimension ref="A1:H36"/>
  <sheetViews>
    <sheetView tabSelected="1" workbookViewId="0">
      <selection activeCell="A33" sqref="A33:B36"/>
    </sheetView>
  </sheetViews>
  <sheetFormatPr defaultRowHeight="14.6" x14ac:dyDescent="0.4"/>
  <sheetData>
    <row r="1" spans="1:8" x14ac:dyDescent="0.4">
      <c r="A1" t="s">
        <v>13</v>
      </c>
      <c r="B1" t="s">
        <v>10</v>
      </c>
      <c r="C1" t="s">
        <v>68</v>
      </c>
      <c r="D1" t="s">
        <v>88</v>
      </c>
      <c r="E1" t="s">
        <v>14</v>
      </c>
      <c r="F1" t="s">
        <v>89</v>
      </c>
      <c r="G1" t="s">
        <v>70</v>
      </c>
      <c r="H1" t="s">
        <v>90</v>
      </c>
    </row>
    <row r="2" spans="1:8" x14ac:dyDescent="0.4">
      <c r="A2" t="s">
        <v>93</v>
      </c>
      <c r="B2" t="s">
        <v>69</v>
      </c>
      <c r="C2">
        <v>2.64566929133857</v>
      </c>
      <c r="D2">
        <v>760000</v>
      </c>
      <c r="E2">
        <f>C2</f>
        <v>2.64566929133857</v>
      </c>
      <c r="F2">
        <f>D2/147000</f>
        <v>5.1700680272108848</v>
      </c>
      <c r="G2">
        <f>F2*1000</f>
        <v>5170.0680272108848</v>
      </c>
      <c r="H2" t="s">
        <v>82</v>
      </c>
    </row>
    <row r="3" spans="1:8" x14ac:dyDescent="0.4">
      <c r="A3" t="s">
        <v>93</v>
      </c>
      <c r="B3" t="s">
        <v>69</v>
      </c>
      <c r="C3">
        <v>5.2913385826771497</v>
      </c>
      <c r="D3">
        <v>1022222.22222222</v>
      </c>
      <c r="E3">
        <f t="shared" ref="E3:E36" si="0">C3</f>
        <v>5.2913385826771497</v>
      </c>
      <c r="F3">
        <f t="shared" ref="F3:F36" si="1">D3/147000</f>
        <v>6.9538926681783675</v>
      </c>
      <c r="G3">
        <f t="shared" ref="G3:G36" si="2">F3*1000</f>
        <v>6953.8926681783678</v>
      </c>
      <c r="H3" t="s">
        <v>82</v>
      </c>
    </row>
    <row r="4" spans="1:8" x14ac:dyDescent="0.4">
      <c r="A4" t="s">
        <v>93</v>
      </c>
      <c r="B4" t="s">
        <v>69</v>
      </c>
      <c r="C4">
        <v>7.9370078740157304</v>
      </c>
      <c r="D4">
        <v>920000</v>
      </c>
      <c r="E4">
        <f t="shared" si="0"/>
        <v>7.9370078740157304</v>
      </c>
      <c r="F4">
        <f t="shared" si="1"/>
        <v>6.2585034013605441</v>
      </c>
      <c r="G4">
        <f t="shared" si="2"/>
        <v>6258.5034013605436</v>
      </c>
      <c r="H4" t="s">
        <v>82</v>
      </c>
    </row>
    <row r="5" spans="1:8" x14ac:dyDescent="0.4">
      <c r="A5" t="s">
        <v>93</v>
      </c>
      <c r="B5" t="s">
        <v>69</v>
      </c>
      <c r="C5">
        <v>23.811023622047198</v>
      </c>
      <c r="D5">
        <v>808888.88888888794</v>
      </c>
      <c r="E5">
        <f t="shared" si="0"/>
        <v>23.811023622047198</v>
      </c>
      <c r="F5">
        <f t="shared" si="1"/>
        <v>5.5026455026454961</v>
      </c>
      <c r="G5">
        <f t="shared" si="2"/>
        <v>5502.645502645496</v>
      </c>
      <c r="H5" t="s">
        <v>82</v>
      </c>
    </row>
    <row r="6" spans="1:8" x14ac:dyDescent="0.4">
      <c r="A6" t="s">
        <v>93</v>
      </c>
      <c r="B6" t="s">
        <v>69</v>
      </c>
      <c r="C6">
        <v>13.228346456692799</v>
      </c>
      <c r="D6">
        <v>817777.77777777705</v>
      </c>
      <c r="E6">
        <f t="shared" si="0"/>
        <v>13.228346456692799</v>
      </c>
      <c r="F6">
        <f t="shared" si="1"/>
        <v>5.5631141345427011</v>
      </c>
      <c r="G6">
        <f t="shared" si="2"/>
        <v>5563.1141345427013</v>
      </c>
      <c r="H6" t="s">
        <v>82</v>
      </c>
    </row>
    <row r="7" spans="1:8" x14ac:dyDescent="0.4">
      <c r="A7" t="s">
        <v>93</v>
      </c>
      <c r="B7" t="s">
        <v>69</v>
      </c>
      <c r="C7">
        <v>72.755905511810994</v>
      </c>
      <c r="D7">
        <v>582222.22222222202</v>
      </c>
      <c r="E7">
        <f t="shared" si="0"/>
        <v>72.755905511810994</v>
      </c>
      <c r="F7">
        <f t="shared" si="1"/>
        <v>3.9606953892668164</v>
      </c>
      <c r="G7">
        <f t="shared" si="2"/>
        <v>3960.6953892668166</v>
      </c>
      <c r="H7" t="s">
        <v>82</v>
      </c>
    </row>
    <row r="8" spans="1:8" x14ac:dyDescent="0.4">
      <c r="A8" t="s">
        <v>93</v>
      </c>
      <c r="B8" t="s">
        <v>69</v>
      </c>
      <c r="C8">
        <v>169.32283464566899</v>
      </c>
      <c r="D8">
        <v>462222.22222222202</v>
      </c>
      <c r="E8">
        <f t="shared" si="0"/>
        <v>169.32283464566899</v>
      </c>
      <c r="F8">
        <f t="shared" si="1"/>
        <v>3.1443688586545715</v>
      </c>
      <c r="G8">
        <f t="shared" si="2"/>
        <v>3144.3688586545713</v>
      </c>
      <c r="H8" t="s">
        <v>82</v>
      </c>
    </row>
    <row r="9" spans="1:8" x14ac:dyDescent="0.4">
      <c r="A9" t="s">
        <v>93</v>
      </c>
      <c r="B9" t="s">
        <v>69</v>
      </c>
      <c r="C9">
        <v>337.32283464566899</v>
      </c>
      <c r="D9">
        <v>284444.44444444397</v>
      </c>
      <c r="E9">
        <f t="shared" si="0"/>
        <v>337.32283464566899</v>
      </c>
      <c r="F9">
        <f t="shared" si="1"/>
        <v>1.9349962207105031</v>
      </c>
      <c r="G9">
        <f t="shared" si="2"/>
        <v>1934.9962207105032</v>
      </c>
      <c r="H9" t="s">
        <v>82</v>
      </c>
    </row>
    <row r="10" spans="1:8" x14ac:dyDescent="0.4">
      <c r="A10" t="s">
        <v>93</v>
      </c>
      <c r="B10" t="s">
        <v>69</v>
      </c>
      <c r="C10">
        <v>675.96850393700697</v>
      </c>
      <c r="D10">
        <v>200000</v>
      </c>
      <c r="E10">
        <f t="shared" si="0"/>
        <v>675.96850393700697</v>
      </c>
      <c r="F10">
        <f t="shared" si="1"/>
        <v>1.3605442176870748</v>
      </c>
      <c r="G10">
        <f t="shared" si="2"/>
        <v>1360.5442176870747</v>
      </c>
      <c r="H10" t="s">
        <v>82</v>
      </c>
    </row>
    <row r="11" spans="1:8" x14ac:dyDescent="0.4">
      <c r="A11" t="s">
        <v>93</v>
      </c>
      <c r="B11" t="s">
        <v>69</v>
      </c>
      <c r="C11">
        <v>1349.2913385826701</v>
      </c>
      <c r="D11">
        <v>93333.333333333401</v>
      </c>
      <c r="E11">
        <f t="shared" si="0"/>
        <v>1349.2913385826701</v>
      </c>
      <c r="F11">
        <f t="shared" si="1"/>
        <v>0.63492063492063533</v>
      </c>
      <c r="G11">
        <f t="shared" si="2"/>
        <v>634.92063492063528</v>
      </c>
      <c r="H11" t="s">
        <v>82</v>
      </c>
    </row>
    <row r="12" spans="1:8" x14ac:dyDescent="0.4">
      <c r="A12" t="s">
        <v>93</v>
      </c>
      <c r="B12" t="s">
        <v>91</v>
      </c>
      <c r="C12">
        <v>337.32283464566899</v>
      </c>
      <c r="D12">
        <v>160000</v>
      </c>
      <c r="E12">
        <f t="shared" si="0"/>
        <v>337.32283464566899</v>
      </c>
      <c r="F12">
        <f t="shared" si="1"/>
        <v>1.08843537414966</v>
      </c>
      <c r="G12">
        <f t="shared" si="2"/>
        <v>1088.43537414966</v>
      </c>
      <c r="H12" t="s">
        <v>82</v>
      </c>
    </row>
    <row r="13" spans="1:8" x14ac:dyDescent="0.4">
      <c r="A13" t="s">
        <v>93</v>
      </c>
      <c r="B13" t="s">
        <v>91</v>
      </c>
      <c r="C13">
        <v>674.64566929133798</v>
      </c>
      <c r="D13">
        <v>115555.55555555499</v>
      </c>
      <c r="E13">
        <f t="shared" si="0"/>
        <v>674.64566929133798</v>
      </c>
      <c r="F13">
        <f t="shared" si="1"/>
        <v>0.78609221466363943</v>
      </c>
      <c r="G13">
        <f t="shared" si="2"/>
        <v>786.09221466363942</v>
      </c>
      <c r="H13" t="s">
        <v>82</v>
      </c>
    </row>
    <row r="14" spans="1:8" x14ac:dyDescent="0.4">
      <c r="A14" t="s">
        <v>93</v>
      </c>
      <c r="B14" t="s">
        <v>91</v>
      </c>
      <c r="C14">
        <v>1350.61417322834</v>
      </c>
      <c r="D14">
        <v>53333.333333333401</v>
      </c>
      <c r="E14">
        <f t="shared" si="0"/>
        <v>1350.61417322834</v>
      </c>
      <c r="F14">
        <f t="shared" si="1"/>
        <v>0.36281179138322039</v>
      </c>
      <c r="G14">
        <f t="shared" si="2"/>
        <v>362.8117913832204</v>
      </c>
      <c r="H14" t="s">
        <v>82</v>
      </c>
    </row>
    <row r="15" spans="1:8" x14ac:dyDescent="0.4">
      <c r="A15" t="s">
        <v>93</v>
      </c>
      <c r="B15" t="s">
        <v>91</v>
      </c>
      <c r="C15">
        <v>169.32283464566899</v>
      </c>
      <c r="D15">
        <v>191111.11111111101</v>
      </c>
      <c r="E15">
        <f t="shared" si="0"/>
        <v>169.32283464566899</v>
      </c>
      <c r="F15">
        <f t="shared" si="1"/>
        <v>1.3000755857898707</v>
      </c>
      <c r="G15">
        <f t="shared" si="2"/>
        <v>1300.0755857898707</v>
      </c>
      <c r="H15" t="s">
        <v>82</v>
      </c>
    </row>
    <row r="16" spans="1:8" x14ac:dyDescent="0.4">
      <c r="A16" t="s">
        <v>93</v>
      </c>
      <c r="B16" t="s">
        <v>91</v>
      </c>
      <c r="C16">
        <v>72.755905511810994</v>
      </c>
      <c r="D16">
        <v>244444.444444444</v>
      </c>
      <c r="E16">
        <f t="shared" si="0"/>
        <v>72.755905511810994</v>
      </c>
      <c r="F16">
        <f t="shared" si="1"/>
        <v>1.6628873771730885</v>
      </c>
      <c r="G16">
        <f t="shared" si="2"/>
        <v>1662.8873771730885</v>
      </c>
      <c r="H16" t="s">
        <v>82</v>
      </c>
    </row>
    <row r="17" spans="1:8" x14ac:dyDescent="0.4">
      <c r="A17" t="s">
        <v>93</v>
      </c>
      <c r="B17" t="s">
        <v>91</v>
      </c>
      <c r="C17">
        <v>25.133858267716501</v>
      </c>
      <c r="D17">
        <v>328888.888888888</v>
      </c>
      <c r="E17">
        <f t="shared" si="0"/>
        <v>25.133858267716501</v>
      </c>
      <c r="F17">
        <f t="shared" si="1"/>
        <v>2.2373393801965169</v>
      </c>
      <c r="G17">
        <f t="shared" si="2"/>
        <v>2237.3393801965167</v>
      </c>
      <c r="H17" t="s">
        <v>82</v>
      </c>
    </row>
    <row r="18" spans="1:8" x14ac:dyDescent="0.4">
      <c r="A18" t="s">
        <v>93</v>
      </c>
      <c r="B18" t="s">
        <v>91</v>
      </c>
      <c r="C18">
        <v>13.228346456692799</v>
      </c>
      <c r="D18">
        <v>346666.66666666599</v>
      </c>
      <c r="E18">
        <f t="shared" si="0"/>
        <v>13.228346456692799</v>
      </c>
      <c r="F18">
        <f t="shared" si="1"/>
        <v>2.3582766439909251</v>
      </c>
      <c r="G18">
        <f t="shared" si="2"/>
        <v>2358.2766439909251</v>
      </c>
      <c r="H18" t="s">
        <v>82</v>
      </c>
    </row>
    <row r="19" spans="1:8" x14ac:dyDescent="0.4">
      <c r="A19" t="s">
        <v>93</v>
      </c>
      <c r="B19" t="s">
        <v>92</v>
      </c>
      <c r="C19">
        <v>1349.2913385826701</v>
      </c>
      <c r="D19">
        <v>8888.8888888889906</v>
      </c>
      <c r="E19">
        <f t="shared" si="0"/>
        <v>1349.2913385826701</v>
      </c>
      <c r="F19">
        <f t="shared" si="1"/>
        <v>6.0468631897204014E-2</v>
      </c>
      <c r="G19">
        <f t="shared" si="2"/>
        <v>60.468631897204013</v>
      </c>
      <c r="H19" t="s">
        <v>82</v>
      </c>
    </row>
    <row r="20" spans="1:8" x14ac:dyDescent="0.4">
      <c r="A20" t="s">
        <v>93</v>
      </c>
      <c r="B20" t="s">
        <v>92</v>
      </c>
      <c r="C20">
        <v>675.96850393700697</v>
      </c>
      <c r="D20">
        <v>35555.5555555557</v>
      </c>
      <c r="E20">
        <f t="shared" si="0"/>
        <v>675.96850393700697</v>
      </c>
      <c r="F20">
        <f t="shared" si="1"/>
        <v>0.24187452758881428</v>
      </c>
      <c r="G20">
        <f t="shared" si="2"/>
        <v>241.87452758881429</v>
      </c>
      <c r="H20" t="s">
        <v>82</v>
      </c>
    </row>
    <row r="21" spans="1:8" x14ac:dyDescent="0.4">
      <c r="A21" t="s">
        <v>93</v>
      </c>
      <c r="B21" t="s">
        <v>92</v>
      </c>
      <c r="C21">
        <v>337.32283464566899</v>
      </c>
      <c r="D21">
        <v>53333.333333333401</v>
      </c>
      <c r="E21">
        <f t="shared" si="0"/>
        <v>337.32283464566899</v>
      </c>
      <c r="F21">
        <f t="shared" si="1"/>
        <v>0.36281179138322039</v>
      </c>
      <c r="G21">
        <f t="shared" si="2"/>
        <v>362.8117913832204</v>
      </c>
      <c r="H21" t="s">
        <v>82</v>
      </c>
    </row>
    <row r="22" spans="1:8" x14ac:dyDescent="0.4">
      <c r="A22" t="s">
        <v>93</v>
      </c>
      <c r="B22" t="s">
        <v>92</v>
      </c>
      <c r="C22">
        <v>169.32283464566899</v>
      </c>
      <c r="D22">
        <v>80000</v>
      </c>
      <c r="E22">
        <f t="shared" si="0"/>
        <v>169.32283464566899</v>
      </c>
      <c r="F22">
        <f t="shared" si="1"/>
        <v>0.54421768707482998</v>
      </c>
      <c r="G22">
        <f t="shared" si="2"/>
        <v>544.21768707483</v>
      </c>
      <c r="H22" t="s">
        <v>82</v>
      </c>
    </row>
    <row r="23" spans="1:8" x14ac:dyDescent="0.4">
      <c r="A23" t="s">
        <v>93</v>
      </c>
      <c r="B23" t="s">
        <v>92</v>
      </c>
      <c r="C23">
        <v>72.755905511810994</v>
      </c>
      <c r="D23">
        <v>97777.777777777694</v>
      </c>
      <c r="E23">
        <f t="shared" si="0"/>
        <v>72.755905511810994</v>
      </c>
      <c r="F23">
        <f t="shared" si="1"/>
        <v>0.66515495086923604</v>
      </c>
      <c r="G23">
        <f t="shared" si="2"/>
        <v>665.15495086923602</v>
      </c>
      <c r="H23" t="s">
        <v>82</v>
      </c>
    </row>
    <row r="24" spans="1:8" x14ac:dyDescent="0.4">
      <c r="A24" t="s">
        <v>93</v>
      </c>
      <c r="B24" t="s">
        <v>92</v>
      </c>
      <c r="C24">
        <v>29.102362204724301</v>
      </c>
      <c r="D24">
        <v>133333.33333333299</v>
      </c>
      <c r="E24">
        <f t="shared" si="0"/>
        <v>29.102362204724301</v>
      </c>
      <c r="F24">
        <f t="shared" si="1"/>
        <v>0.9070294784580476</v>
      </c>
      <c r="G24">
        <f t="shared" si="2"/>
        <v>907.02947845804761</v>
      </c>
      <c r="H24" t="s">
        <v>82</v>
      </c>
    </row>
    <row r="25" spans="1:8" x14ac:dyDescent="0.4">
      <c r="A25" t="s">
        <v>93</v>
      </c>
      <c r="B25" t="s">
        <v>92</v>
      </c>
      <c r="C25">
        <v>23.811023622047198</v>
      </c>
      <c r="D25">
        <v>137777.777777777</v>
      </c>
      <c r="E25">
        <f t="shared" si="0"/>
        <v>23.811023622047198</v>
      </c>
      <c r="F25">
        <f t="shared" si="1"/>
        <v>0.9372637944066462</v>
      </c>
      <c r="G25">
        <f t="shared" si="2"/>
        <v>937.26379440664618</v>
      </c>
      <c r="H25" t="s">
        <v>82</v>
      </c>
    </row>
    <row r="26" spans="1:8" x14ac:dyDescent="0.4">
      <c r="A26" t="s">
        <v>93</v>
      </c>
      <c r="B26" t="s">
        <v>92</v>
      </c>
      <c r="C26">
        <v>13.228346456692799</v>
      </c>
      <c r="D26">
        <v>142222.22222222199</v>
      </c>
      <c r="E26">
        <f t="shared" si="0"/>
        <v>13.228346456692799</v>
      </c>
      <c r="F26">
        <f t="shared" si="1"/>
        <v>0.96749811035525157</v>
      </c>
      <c r="G26">
        <f t="shared" si="2"/>
        <v>967.49811035525158</v>
      </c>
      <c r="H26" t="s">
        <v>82</v>
      </c>
    </row>
    <row r="27" spans="1:8" x14ac:dyDescent="0.4">
      <c r="A27" t="s">
        <v>94</v>
      </c>
      <c r="B27" t="s">
        <v>69</v>
      </c>
      <c r="C27">
        <f>15*24</f>
        <v>360</v>
      </c>
      <c r="D27">
        <v>263940.2</v>
      </c>
      <c r="E27">
        <f t="shared" si="0"/>
        <v>360</v>
      </c>
      <c r="F27">
        <f t="shared" si="1"/>
        <v>1.7955115646258504</v>
      </c>
      <c r="G27">
        <f t="shared" si="2"/>
        <v>1795.5115646258503</v>
      </c>
    </row>
    <row r="28" spans="1:8" x14ac:dyDescent="0.4">
      <c r="A28" t="s">
        <v>94</v>
      </c>
      <c r="B28" t="s">
        <v>69</v>
      </c>
      <c r="C28">
        <f>15*24</f>
        <v>360</v>
      </c>
      <c r="D28">
        <v>256774.9</v>
      </c>
      <c r="E28">
        <f t="shared" si="0"/>
        <v>360</v>
      </c>
      <c r="F28">
        <f t="shared" si="1"/>
        <v>1.7467680272108843</v>
      </c>
      <c r="G28">
        <f t="shared" si="2"/>
        <v>1746.7680272108844</v>
      </c>
    </row>
    <row r="29" spans="1:8" x14ac:dyDescent="0.4">
      <c r="A29" t="s">
        <v>94</v>
      </c>
      <c r="B29" t="s">
        <v>69</v>
      </c>
      <c r="C29">
        <f>2*24</f>
        <v>48</v>
      </c>
      <c r="D29">
        <v>732517.2</v>
      </c>
      <c r="E29">
        <f t="shared" si="0"/>
        <v>48</v>
      </c>
      <c r="F29">
        <f t="shared" si="1"/>
        <v>4.9831102040816324</v>
      </c>
      <c r="G29">
        <f t="shared" si="2"/>
        <v>4983.1102040816322</v>
      </c>
    </row>
    <row r="30" spans="1:8" x14ac:dyDescent="0.4">
      <c r="A30" t="s">
        <v>94</v>
      </c>
      <c r="B30" t="s">
        <v>69</v>
      </c>
      <c r="C30">
        <f>29*24</f>
        <v>696</v>
      </c>
      <c r="D30">
        <v>218347.2</v>
      </c>
      <c r="E30">
        <f t="shared" si="0"/>
        <v>696</v>
      </c>
      <c r="F30">
        <f t="shared" si="1"/>
        <v>1.4853551020408164</v>
      </c>
      <c r="G30">
        <f t="shared" si="2"/>
        <v>1485.3551020408165</v>
      </c>
    </row>
    <row r="31" spans="1:8" x14ac:dyDescent="0.4">
      <c r="A31" t="s">
        <v>94</v>
      </c>
      <c r="B31" t="s">
        <v>69</v>
      </c>
      <c r="C31">
        <f>29*24</f>
        <v>696</v>
      </c>
      <c r="D31">
        <v>215238.6</v>
      </c>
      <c r="E31">
        <f t="shared" si="0"/>
        <v>696</v>
      </c>
      <c r="F31">
        <f t="shared" si="1"/>
        <v>1.4642081632653061</v>
      </c>
      <c r="G31">
        <f t="shared" si="2"/>
        <v>1464.2081632653062</v>
      </c>
    </row>
    <row r="32" spans="1:8" x14ac:dyDescent="0.4">
      <c r="A32" t="s">
        <v>95</v>
      </c>
      <c r="B32" t="s">
        <v>69</v>
      </c>
      <c r="C32">
        <v>360</v>
      </c>
      <c r="D32">
        <v>1148.7</v>
      </c>
      <c r="E32">
        <f t="shared" si="0"/>
        <v>360</v>
      </c>
      <c r="F32">
        <f t="shared" si="1"/>
        <v>7.8142857142857146E-3</v>
      </c>
      <c r="G32">
        <f t="shared" si="2"/>
        <v>7.8142857142857149</v>
      </c>
    </row>
    <row r="33" spans="1:7" x14ac:dyDescent="0.4">
      <c r="A33" t="s">
        <v>95</v>
      </c>
      <c r="B33" t="s">
        <v>69</v>
      </c>
      <c r="C33">
        <v>360</v>
      </c>
      <c r="D33">
        <v>1791.1</v>
      </c>
      <c r="E33">
        <f t="shared" si="0"/>
        <v>360</v>
      </c>
      <c r="F33">
        <f t="shared" si="1"/>
        <v>1.2184353741496599E-2</v>
      </c>
      <c r="G33">
        <f t="shared" si="2"/>
        <v>12.184353741496599</v>
      </c>
    </row>
    <row r="34" spans="1:7" x14ac:dyDescent="0.4">
      <c r="A34" t="s">
        <v>95</v>
      </c>
      <c r="B34" t="s">
        <v>69</v>
      </c>
      <c r="C34">
        <v>48</v>
      </c>
      <c r="D34">
        <v>1037.7</v>
      </c>
      <c r="E34">
        <f t="shared" si="0"/>
        <v>48</v>
      </c>
      <c r="F34">
        <f t="shared" si="1"/>
        <v>7.059183673469388E-3</v>
      </c>
      <c r="G34">
        <f t="shared" si="2"/>
        <v>7.0591836734693878</v>
      </c>
    </row>
    <row r="35" spans="1:7" x14ac:dyDescent="0.4">
      <c r="A35" t="s">
        <v>95</v>
      </c>
      <c r="B35" t="s">
        <v>69</v>
      </c>
      <c r="C35">
        <v>696</v>
      </c>
      <c r="D35">
        <v>675.9</v>
      </c>
      <c r="E35">
        <f t="shared" si="0"/>
        <v>696</v>
      </c>
      <c r="F35">
        <f t="shared" si="1"/>
        <v>4.5979591836734692E-3</v>
      </c>
      <c r="G35">
        <f t="shared" si="2"/>
        <v>4.5979591836734688</v>
      </c>
    </row>
    <row r="36" spans="1:7" x14ac:dyDescent="0.4">
      <c r="A36" t="s">
        <v>95</v>
      </c>
      <c r="B36" t="s">
        <v>69</v>
      </c>
      <c r="C36">
        <v>696</v>
      </c>
      <c r="D36">
        <v>838.5</v>
      </c>
      <c r="E36">
        <f t="shared" si="0"/>
        <v>696</v>
      </c>
      <c r="F36">
        <f t="shared" si="1"/>
        <v>5.7040816326530616E-3</v>
      </c>
      <c r="G36">
        <f t="shared" si="2"/>
        <v>5.7040816326530619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7A654-4C67-4DAC-81E3-63640EBD176B}">
  <dimension ref="A1:F187"/>
  <sheetViews>
    <sheetView topLeftCell="A141" zoomScale="85" zoomScaleNormal="85" workbookViewId="0">
      <selection activeCell="A126" sqref="A126:F187"/>
    </sheetView>
  </sheetViews>
  <sheetFormatPr defaultRowHeight="14.6" x14ac:dyDescent="0.4"/>
  <sheetData>
    <row r="1" spans="1:6" x14ac:dyDescent="0.4">
      <c r="A1" t="s">
        <v>13</v>
      </c>
      <c r="B1" t="s">
        <v>10</v>
      </c>
      <c r="C1" t="s">
        <v>68</v>
      </c>
      <c r="D1" t="s">
        <v>9</v>
      </c>
      <c r="E1" t="s">
        <v>14</v>
      </c>
      <c r="F1" t="s">
        <v>70</v>
      </c>
    </row>
    <row r="2" spans="1:6" x14ac:dyDescent="0.4">
      <c r="A2" t="s">
        <v>83</v>
      </c>
      <c r="B2" t="s">
        <v>75</v>
      </c>
      <c r="C2">
        <v>-2.2627387842130702</v>
      </c>
      <c r="D2">
        <v>4135.5051124985903</v>
      </c>
      <c r="E2">
        <f>C2</f>
        <v>-2.2627387842130702</v>
      </c>
      <c r="F2">
        <f>D2</f>
        <v>4135.5051124985903</v>
      </c>
    </row>
    <row r="3" spans="1:6" x14ac:dyDescent="0.4">
      <c r="A3" t="s">
        <v>83</v>
      </c>
      <c r="B3" t="s">
        <v>75</v>
      </c>
      <c r="C3">
        <v>0.35645388219251101</v>
      </c>
      <c r="D3">
        <v>2801.9668008611602</v>
      </c>
      <c r="E3">
        <f t="shared" ref="E3:E63" si="0">C3</f>
        <v>0.35645388219251101</v>
      </c>
      <c r="F3">
        <f t="shared" ref="F3:F63" si="1">D3</f>
        <v>2801.9668008611602</v>
      </c>
    </row>
    <row r="4" spans="1:6" x14ac:dyDescent="0.4">
      <c r="A4" t="s">
        <v>83</v>
      </c>
      <c r="B4" t="s">
        <v>75</v>
      </c>
      <c r="C4">
        <v>16.7475305687306</v>
      </c>
      <c r="D4">
        <v>2216.2851469113298</v>
      </c>
      <c r="E4">
        <f t="shared" si="0"/>
        <v>16.7475305687306</v>
      </c>
      <c r="F4">
        <f t="shared" si="1"/>
        <v>2216.2851469113298</v>
      </c>
    </row>
    <row r="5" spans="1:6" x14ac:dyDescent="0.4">
      <c r="A5" t="s">
        <v>83</v>
      </c>
      <c r="B5" t="s">
        <v>75</v>
      </c>
      <c r="C5">
        <v>31.955746051085601</v>
      </c>
      <c r="D5">
        <v>2017.83851433991</v>
      </c>
      <c r="E5">
        <f t="shared" si="0"/>
        <v>31.955746051085601</v>
      </c>
      <c r="F5">
        <f t="shared" si="1"/>
        <v>2017.83851433991</v>
      </c>
    </row>
    <row r="6" spans="1:6" x14ac:dyDescent="0.4">
      <c r="A6" t="s">
        <v>83</v>
      </c>
      <c r="B6" t="s">
        <v>75</v>
      </c>
      <c r="C6">
        <v>48.684783081676102</v>
      </c>
      <c r="D6">
        <v>1855.0969073930801</v>
      </c>
      <c r="E6">
        <f t="shared" si="0"/>
        <v>48.684783081676102</v>
      </c>
      <c r="F6">
        <f t="shared" si="1"/>
        <v>1855.0969073930801</v>
      </c>
    </row>
    <row r="7" spans="1:6" x14ac:dyDescent="0.4">
      <c r="A7" t="s">
        <v>83</v>
      </c>
      <c r="B7" t="s">
        <v>75</v>
      </c>
      <c r="C7">
        <v>65.413820112266606</v>
      </c>
      <c r="D7">
        <v>1764.6619112404701</v>
      </c>
      <c r="E7">
        <f t="shared" si="0"/>
        <v>65.413820112266606</v>
      </c>
      <c r="F7">
        <f t="shared" si="1"/>
        <v>1764.6619112404701</v>
      </c>
    </row>
    <row r="8" spans="1:6" x14ac:dyDescent="0.4">
      <c r="A8" t="s">
        <v>83</v>
      </c>
      <c r="B8" t="s">
        <v>75</v>
      </c>
      <c r="C8">
        <v>82.142857142857096</v>
      </c>
      <c r="D8">
        <v>1702.7380156060201</v>
      </c>
      <c r="E8">
        <f t="shared" si="0"/>
        <v>82.142857142857096</v>
      </c>
      <c r="F8">
        <f t="shared" si="1"/>
        <v>1702.7380156060201</v>
      </c>
    </row>
    <row r="9" spans="1:6" x14ac:dyDescent="0.4">
      <c r="A9" t="s">
        <v>83</v>
      </c>
      <c r="B9" t="s">
        <v>75</v>
      </c>
      <c r="C9">
        <v>98.871894173447501</v>
      </c>
      <c r="D9">
        <v>1642.82020879013</v>
      </c>
      <c r="E9">
        <f t="shared" si="0"/>
        <v>98.871894173447501</v>
      </c>
      <c r="F9">
        <f t="shared" si="1"/>
        <v>1642.82020879013</v>
      </c>
    </row>
    <row r="10" spans="1:6" x14ac:dyDescent="0.4">
      <c r="A10" t="s">
        <v>83</v>
      </c>
      <c r="B10" t="s">
        <v>75</v>
      </c>
      <c r="C10">
        <v>115.60093120403801</v>
      </c>
      <c r="D10">
        <v>1601.7680594358901</v>
      </c>
      <c r="E10">
        <f t="shared" si="0"/>
        <v>115.60093120403801</v>
      </c>
      <c r="F10">
        <f t="shared" si="1"/>
        <v>1601.7680594358901</v>
      </c>
    </row>
    <row r="11" spans="1:6" x14ac:dyDescent="0.4">
      <c r="A11" t="s">
        <v>83</v>
      </c>
      <c r="B11" t="s">
        <v>75</v>
      </c>
      <c r="C11">
        <v>132.32996823462801</v>
      </c>
      <c r="D11">
        <v>1571.93797353333</v>
      </c>
      <c r="E11">
        <f t="shared" si="0"/>
        <v>132.32996823462801</v>
      </c>
      <c r="F11">
        <f t="shared" si="1"/>
        <v>1571.93797353333</v>
      </c>
    </row>
    <row r="12" spans="1:6" x14ac:dyDescent="0.4">
      <c r="A12" t="s">
        <v>83</v>
      </c>
      <c r="B12" t="s">
        <v>75</v>
      </c>
      <c r="C12">
        <v>149.05900526521901</v>
      </c>
      <c r="D12">
        <v>1516.5892013538701</v>
      </c>
      <c r="E12">
        <f t="shared" si="0"/>
        <v>149.05900526521901</v>
      </c>
      <c r="F12">
        <f t="shared" si="1"/>
        <v>1516.5892013538701</v>
      </c>
    </row>
    <row r="13" spans="1:6" x14ac:dyDescent="0.4">
      <c r="A13" t="s">
        <v>83</v>
      </c>
      <c r="B13" t="s">
        <v>75</v>
      </c>
      <c r="C13">
        <v>165.78804229580899</v>
      </c>
      <c r="D13">
        <v>1502.9399620357599</v>
      </c>
      <c r="E13">
        <f t="shared" si="0"/>
        <v>165.78804229580899</v>
      </c>
      <c r="F13">
        <f t="shared" si="1"/>
        <v>1502.9399620357599</v>
      </c>
    </row>
    <row r="14" spans="1:6" x14ac:dyDescent="0.4">
      <c r="A14" t="s">
        <v>83</v>
      </c>
      <c r="B14" t="s">
        <v>75</v>
      </c>
      <c r="C14">
        <v>182.51707932639999</v>
      </c>
      <c r="D14">
        <v>1443.7557938826901</v>
      </c>
      <c r="E14">
        <f t="shared" si="0"/>
        <v>182.51707932639999</v>
      </c>
      <c r="F14">
        <f t="shared" si="1"/>
        <v>1443.7557938826901</v>
      </c>
    </row>
    <row r="15" spans="1:6" x14ac:dyDescent="0.4">
      <c r="A15" t="s">
        <v>83</v>
      </c>
      <c r="B15" t="s">
        <v>75</v>
      </c>
      <c r="C15">
        <v>199.24611635699</v>
      </c>
      <c r="D15">
        <v>1444.5919868287499</v>
      </c>
      <c r="E15">
        <f t="shared" si="0"/>
        <v>199.24611635699</v>
      </c>
      <c r="F15">
        <f t="shared" si="1"/>
        <v>1444.5919868287499</v>
      </c>
    </row>
    <row r="16" spans="1:6" x14ac:dyDescent="0.4">
      <c r="A16" t="s">
        <v>83</v>
      </c>
      <c r="B16" t="s">
        <v>75</v>
      </c>
      <c r="C16">
        <v>215.97515338758001</v>
      </c>
      <c r="D16">
        <v>1376.8306407694699</v>
      </c>
      <c r="E16">
        <f t="shared" si="0"/>
        <v>215.97515338758001</v>
      </c>
      <c r="F16">
        <f t="shared" si="1"/>
        <v>1376.8306407694699</v>
      </c>
    </row>
    <row r="17" spans="1:6" x14ac:dyDescent="0.4">
      <c r="A17" t="s">
        <v>83</v>
      </c>
      <c r="B17" t="s">
        <v>75</v>
      </c>
      <c r="C17">
        <v>232.70419041817101</v>
      </c>
      <c r="D17">
        <v>1397.91699335767</v>
      </c>
      <c r="E17">
        <f t="shared" si="0"/>
        <v>232.70419041817101</v>
      </c>
      <c r="F17">
        <f t="shared" si="1"/>
        <v>1397.91699335767</v>
      </c>
    </row>
    <row r="18" spans="1:6" x14ac:dyDescent="0.4">
      <c r="A18" t="s">
        <v>83</v>
      </c>
      <c r="B18" t="s">
        <v>75</v>
      </c>
      <c r="C18">
        <v>249.43322744876099</v>
      </c>
      <c r="D18">
        <v>1312.3077561349701</v>
      </c>
      <c r="E18">
        <f t="shared" si="0"/>
        <v>249.43322744876099</v>
      </c>
      <c r="F18">
        <f t="shared" si="1"/>
        <v>1312.3077561349701</v>
      </c>
    </row>
    <row r="19" spans="1:6" x14ac:dyDescent="0.4">
      <c r="A19" t="s">
        <v>83</v>
      </c>
      <c r="B19" t="s">
        <v>75</v>
      </c>
      <c r="C19">
        <v>266.16226447935202</v>
      </c>
      <c r="D19">
        <v>1337.2109353667099</v>
      </c>
      <c r="E19">
        <f t="shared" si="0"/>
        <v>266.16226447935202</v>
      </c>
      <c r="F19">
        <f t="shared" si="1"/>
        <v>1337.2109353667099</v>
      </c>
    </row>
    <row r="20" spans="1:6" x14ac:dyDescent="0.4">
      <c r="A20" t="s">
        <v>83</v>
      </c>
      <c r="B20" t="s">
        <v>75</v>
      </c>
      <c r="C20">
        <v>282.89130150994202</v>
      </c>
      <c r="D20">
        <v>1252.8113993765601</v>
      </c>
      <c r="E20">
        <f t="shared" si="0"/>
        <v>282.89130150994202</v>
      </c>
      <c r="F20">
        <f t="shared" si="1"/>
        <v>1252.8113993765601</v>
      </c>
    </row>
    <row r="21" spans="1:6" x14ac:dyDescent="0.4">
      <c r="A21" t="s">
        <v>83</v>
      </c>
      <c r="B21" t="s">
        <v>75</v>
      </c>
      <c r="C21">
        <v>299.620338540533</v>
      </c>
      <c r="D21">
        <v>1291.32425351497</v>
      </c>
      <c r="E21">
        <f t="shared" si="0"/>
        <v>299.620338540533</v>
      </c>
      <c r="F21">
        <f t="shared" si="1"/>
        <v>1291.32425351497</v>
      </c>
    </row>
    <row r="22" spans="1:6" x14ac:dyDescent="0.4">
      <c r="A22" t="s">
        <v>83</v>
      </c>
      <c r="B22" t="s">
        <v>75</v>
      </c>
      <c r="C22">
        <v>316.34937557112301</v>
      </c>
      <c r="D22">
        <v>1199.8455696943199</v>
      </c>
      <c r="E22">
        <f t="shared" si="0"/>
        <v>316.34937557112301</v>
      </c>
      <c r="F22">
        <f t="shared" si="1"/>
        <v>1199.8455696943199</v>
      </c>
    </row>
    <row r="23" spans="1:6" x14ac:dyDescent="0.4">
      <c r="A23" t="s">
        <v>83</v>
      </c>
      <c r="B23" t="s">
        <v>75</v>
      </c>
      <c r="C23">
        <v>333.07841260171398</v>
      </c>
      <c r="D23">
        <v>1238.2976127213899</v>
      </c>
      <c r="E23">
        <f t="shared" si="0"/>
        <v>333.07841260171398</v>
      </c>
      <c r="F23">
        <f t="shared" si="1"/>
        <v>1238.2976127213899</v>
      </c>
    </row>
    <row r="24" spans="1:6" x14ac:dyDescent="0.4">
      <c r="A24" t="s">
        <v>83</v>
      </c>
      <c r="B24" t="s">
        <v>75</v>
      </c>
      <c r="C24">
        <v>349.80744963230399</v>
      </c>
      <c r="D24">
        <v>1150.9589534166901</v>
      </c>
      <c r="E24">
        <f t="shared" si="0"/>
        <v>349.80744963230399</v>
      </c>
      <c r="F24">
        <f t="shared" si="1"/>
        <v>1150.9589534166901</v>
      </c>
    </row>
    <row r="25" spans="1:6" x14ac:dyDescent="0.4">
      <c r="A25" t="s">
        <v>83</v>
      </c>
      <c r="B25" t="s">
        <v>75</v>
      </c>
      <c r="C25">
        <v>366.53648666289502</v>
      </c>
      <c r="D25">
        <v>1192.62306820867</v>
      </c>
      <c r="E25">
        <f t="shared" si="0"/>
        <v>366.53648666289502</v>
      </c>
      <c r="F25">
        <f t="shared" si="1"/>
        <v>1192.62306820867</v>
      </c>
    </row>
    <row r="26" spans="1:6" x14ac:dyDescent="0.4">
      <c r="A26" t="s">
        <v>83</v>
      </c>
      <c r="B26" t="s">
        <v>75</v>
      </c>
      <c r="C26">
        <v>383.26552369348502</v>
      </c>
      <c r="D26">
        <v>1104.06417784876</v>
      </c>
      <c r="E26">
        <f t="shared" si="0"/>
        <v>383.26552369348502</v>
      </c>
      <c r="F26">
        <f t="shared" si="1"/>
        <v>1104.06417784876</v>
      </c>
    </row>
    <row r="27" spans="1:6" x14ac:dyDescent="0.4">
      <c r="A27" t="s">
        <v>83</v>
      </c>
      <c r="B27" t="s">
        <v>75</v>
      </c>
      <c r="C27">
        <v>399.994560724076</v>
      </c>
      <c r="D27">
        <v>1135.3695902801001</v>
      </c>
      <c r="E27">
        <f t="shared" si="0"/>
        <v>399.994560724076</v>
      </c>
      <c r="F27">
        <f t="shared" si="1"/>
        <v>1135.3695902801001</v>
      </c>
    </row>
    <row r="28" spans="1:6" x14ac:dyDescent="0.4">
      <c r="A28" t="s">
        <v>83</v>
      </c>
      <c r="B28" t="s">
        <v>75</v>
      </c>
      <c r="C28">
        <v>416.723597754666</v>
      </c>
      <c r="D28">
        <v>1057.3870201925499</v>
      </c>
      <c r="E28">
        <f t="shared" si="0"/>
        <v>416.723597754666</v>
      </c>
      <c r="F28">
        <f t="shared" si="1"/>
        <v>1057.3870201925499</v>
      </c>
    </row>
    <row r="29" spans="1:6" x14ac:dyDescent="0.4">
      <c r="A29" t="s">
        <v>83</v>
      </c>
      <c r="B29" t="s">
        <v>75</v>
      </c>
      <c r="C29">
        <v>433.45263478525698</v>
      </c>
      <c r="D29">
        <v>1086.4787292103999</v>
      </c>
      <c r="E29">
        <f t="shared" si="0"/>
        <v>433.45263478525698</v>
      </c>
      <c r="F29">
        <f t="shared" si="1"/>
        <v>1086.4787292103999</v>
      </c>
    </row>
    <row r="30" spans="1:6" x14ac:dyDescent="0.4">
      <c r="A30" t="s">
        <v>83</v>
      </c>
      <c r="B30" t="s">
        <v>75</v>
      </c>
      <c r="C30">
        <v>450.18167181584698</v>
      </c>
      <c r="D30">
        <v>1017.55551754237</v>
      </c>
      <c r="E30">
        <f t="shared" si="0"/>
        <v>450.18167181584698</v>
      </c>
      <c r="F30">
        <f t="shared" si="1"/>
        <v>1017.55551754237</v>
      </c>
    </row>
    <row r="31" spans="1:6" x14ac:dyDescent="0.4">
      <c r="A31" t="s">
        <v>83</v>
      </c>
      <c r="B31" t="s">
        <v>75</v>
      </c>
      <c r="C31">
        <v>466.91070884643801</v>
      </c>
      <c r="D31">
        <v>1037.34924549727</v>
      </c>
      <c r="E31">
        <f t="shared" si="0"/>
        <v>466.91070884643801</v>
      </c>
      <c r="F31">
        <f t="shared" si="1"/>
        <v>1037.34924549727</v>
      </c>
    </row>
    <row r="32" spans="1:6" x14ac:dyDescent="0.4">
      <c r="A32" t="s">
        <v>83</v>
      </c>
      <c r="B32" t="s">
        <v>75</v>
      </c>
      <c r="C32">
        <v>483.63974587702802</v>
      </c>
      <c r="D32">
        <v>981.18474307258498</v>
      </c>
      <c r="E32">
        <f t="shared" si="0"/>
        <v>483.63974587702802</v>
      </c>
      <c r="F32">
        <f t="shared" si="1"/>
        <v>981.18474307258498</v>
      </c>
    </row>
    <row r="33" spans="1:6" x14ac:dyDescent="0.4">
      <c r="A33" t="s">
        <v>83</v>
      </c>
      <c r="B33" t="s">
        <v>75</v>
      </c>
      <c r="C33">
        <v>500.36878290761899</v>
      </c>
      <c r="D33">
        <v>986.82600435870802</v>
      </c>
      <c r="E33">
        <f t="shared" si="0"/>
        <v>500.36878290761899</v>
      </c>
      <c r="F33">
        <f t="shared" si="1"/>
        <v>986.82600435870802</v>
      </c>
    </row>
    <row r="34" spans="1:6" x14ac:dyDescent="0.4">
      <c r="A34" t="s">
        <v>83</v>
      </c>
      <c r="B34" t="s">
        <v>75</v>
      </c>
      <c r="C34">
        <v>517.097819938209</v>
      </c>
      <c r="D34">
        <v>946.26536032016804</v>
      </c>
      <c r="E34">
        <f t="shared" si="0"/>
        <v>517.097819938209</v>
      </c>
      <c r="F34">
        <f t="shared" si="1"/>
        <v>946.26536032016804</v>
      </c>
    </row>
    <row r="35" spans="1:6" x14ac:dyDescent="0.4">
      <c r="A35" t="s">
        <v>83</v>
      </c>
      <c r="B35" t="s">
        <v>75</v>
      </c>
      <c r="C35">
        <v>533.82685696880003</v>
      </c>
      <c r="D35">
        <v>947.65294391609802</v>
      </c>
      <c r="E35">
        <f t="shared" si="0"/>
        <v>533.82685696880003</v>
      </c>
      <c r="F35">
        <f t="shared" si="1"/>
        <v>947.65294391609802</v>
      </c>
    </row>
    <row r="36" spans="1:6" x14ac:dyDescent="0.4">
      <c r="A36" t="s">
        <v>83</v>
      </c>
      <c r="B36" t="s">
        <v>75</v>
      </c>
      <c r="C36">
        <v>550.55589399939004</v>
      </c>
      <c r="D36">
        <v>909.74606190157397</v>
      </c>
      <c r="E36">
        <f t="shared" si="0"/>
        <v>550.55589399939004</v>
      </c>
      <c r="F36">
        <f t="shared" si="1"/>
        <v>909.74606190157397</v>
      </c>
    </row>
    <row r="37" spans="1:6" x14ac:dyDescent="0.4">
      <c r="A37" t="s">
        <v>83</v>
      </c>
      <c r="B37" t="s">
        <v>75</v>
      </c>
      <c r="C37">
        <v>567.28493102998095</v>
      </c>
      <c r="D37">
        <v>902.49758093404705</v>
      </c>
      <c r="E37">
        <f t="shared" si="0"/>
        <v>567.28493102998095</v>
      </c>
      <c r="F37">
        <f t="shared" si="1"/>
        <v>902.49758093404705</v>
      </c>
    </row>
    <row r="38" spans="1:6" x14ac:dyDescent="0.4">
      <c r="A38" t="s">
        <v>83</v>
      </c>
      <c r="B38" t="s">
        <v>75</v>
      </c>
      <c r="C38">
        <v>584.01396806057096</v>
      </c>
      <c r="D38">
        <v>879.53191382743796</v>
      </c>
      <c r="E38">
        <f t="shared" si="0"/>
        <v>584.01396806057096</v>
      </c>
      <c r="F38">
        <f t="shared" si="1"/>
        <v>879.53191382743796</v>
      </c>
    </row>
    <row r="39" spans="1:6" x14ac:dyDescent="0.4">
      <c r="A39" t="s">
        <v>83</v>
      </c>
      <c r="B39" t="s">
        <v>75</v>
      </c>
      <c r="C39">
        <v>600.74300509116199</v>
      </c>
      <c r="D39">
        <v>861.63010079698199</v>
      </c>
      <c r="E39">
        <f t="shared" si="0"/>
        <v>600.74300509116199</v>
      </c>
      <c r="F39">
        <f t="shared" si="1"/>
        <v>861.63010079698199</v>
      </c>
    </row>
    <row r="40" spans="1:6" x14ac:dyDescent="0.4">
      <c r="A40" t="s">
        <v>83</v>
      </c>
      <c r="B40" t="s">
        <v>75</v>
      </c>
      <c r="C40">
        <v>617.472042121752</v>
      </c>
      <c r="D40">
        <v>844.52148507561196</v>
      </c>
      <c r="E40">
        <f t="shared" si="0"/>
        <v>617.472042121752</v>
      </c>
      <c r="F40">
        <f t="shared" si="1"/>
        <v>844.52148507561196</v>
      </c>
    </row>
    <row r="41" spans="1:6" x14ac:dyDescent="0.4">
      <c r="A41" t="s">
        <v>83</v>
      </c>
      <c r="B41" t="s">
        <v>75</v>
      </c>
      <c r="C41">
        <v>634.20107915234303</v>
      </c>
      <c r="D41">
        <v>826.05163138310604</v>
      </c>
      <c r="E41">
        <f t="shared" si="0"/>
        <v>634.20107915234303</v>
      </c>
      <c r="F41">
        <f t="shared" si="1"/>
        <v>826.05163138310604</v>
      </c>
    </row>
    <row r="42" spans="1:6" x14ac:dyDescent="0.4">
      <c r="A42" t="s">
        <v>83</v>
      </c>
      <c r="B42" t="s">
        <v>75</v>
      </c>
      <c r="C42">
        <v>650.93011618293303</v>
      </c>
      <c r="D42">
        <v>811.12092925448599</v>
      </c>
      <c r="E42">
        <f t="shared" si="0"/>
        <v>650.93011618293303</v>
      </c>
      <c r="F42">
        <f t="shared" si="1"/>
        <v>811.12092925448599</v>
      </c>
    </row>
    <row r="43" spans="1:6" x14ac:dyDescent="0.4">
      <c r="A43" t="s">
        <v>83</v>
      </c>
      <c r="B43" t="s">
        <v>75</v>
      </c>
      <c r="C43">
        <v>667.65915321352395</v>
      </c>
      <c r="D43">
        <v>788.62780140562495</v>
      </c>
      <c r="E43">
        <f t="shared" si="0"/>
        <v>667.65915321352395</v>
      </c>
      <c r="F43">
        <f t="shared" si="1"/>
        <v>788.62780140562495</v>
      </c>
    </row>
    <row r="44" spans="1:6" x14ac:dyDescent="0.4">
      <c r="A44" t="s">
        <v>83</v>
      </c>
      <c r="B44" t="s">
        <v>75</v>
      </c>
      <c r="C44">
        <v>684.38819024411396</v>
      </c>
      <c r="D44">
        <v>784.91448157614002</v>
      </c>
      <c r="E44">
        <f t="shared" si="0"/>
        <v>684.38819024411396</v>
      </c>
      <c r="F44">
        <f t="shared" si="1"/>
        <v>784.91448157614002</v>
      </c>
    </row>
    <row r="45" spans="1:6" x14ac:dyDescent="0.4">
      <c r="A45" t="s">
        <v>83</v>
      </c>
      <c r="B45" t="s">
        <v>75</v>
      </c>
      <c r="C45">
        <v>701.11722727470499</v>
      </c>
      <c r="D45">
        <v>753.66558592190302</v>
      </c>
      <c r="E45">
        <f t="shared" si="0"/>
        <v>701.11722727470499</v>
      </c>
      <c r="F45">
        <f t="shared" si="1"/>
        <v>753.66558592190302</v>
      </c>
    </row>
    <row r="46" spans="1:6" x14ac:dyDescent="0.4">
      <c r="A46" t="s">
        <v>83</v>
      </c>
      <c r="B46" t="s">
        <v>75</v>
      </c>
      <c r="C46">
        <v>717.84626430529499</v>
      </c>
      <c r="D46">
        <v>753.23506991024203</v>
      </c>
      <c r="E46">
        <f t="shared" si="0"/>
        <v>717.84626430529499</v>
      </c>
      <c r="F46">
        <f t="shared" si="1"/>
        <v>753.23506991024203</v>
      </c>
    </row>
    <row r="47" spans="1:6" x14ac:dyDescent="0.4">
      <c r="A47" t="s">
        <v>83</v>
      </c>
      <c r="B47" t="s">
        <v>75</v>
      </c>
      <c r="C47">
        <v>734.57530133588602</v>
      </c>
      <c r="D47">
        <v>722.54519217961001</v>
      </c>
      <c r="E47">
        <f t="shared" si="0"/>
        <v>734.57530133588602</v>
      </c>
      <c r="F47">
        <f t="shared" si="1"/>
        <v>722.54519217961001</v>
      </c>
    </row>
    <row r="48" spans="1:6" x14ac:dyDescent="0.4">
      <c r="A48" t="s">
        <v>83</v>
      </c>
      <c r="B48" t="s">
        <v>75</v>
      </c>
      <c r="C48">
        <v>751.30433836647603</v>
      </c>
      <c r="D48">
        <v>728.05710843996701</v>
      </c>
      <c r="E48">
        <f t="shared" si="0"/>
        <v>751.30433836647603</v>
      </c>
      <c r="F48">
        <f t="shared" si="1"/>
        <v>728.05710843996701</v>
      </c>
    </row>
    <row r="49" spans="1:6" x14ac:dyDescent="0.4">
      <c r="A49" t="s">
        <v>83</v>
      </c>
      <c r="B49" t="s">
        <v>75</v>
      </c>
      <c r="C49">
        <v>768.03337539706695</v>
      </c>
      <c r="D49">
        <v>690.33903338178402</v>
      </c>
      <c r="E49">
        <f t="shared" si="0"/>
        <v>768.03337539706695</v>
      </c>
      <c r="F49">
        <f t="shared" si="1"/>
        <v>690.33903338178402</v>
      </c>
    </row>
    <row r="50" spans="1:6" x14ac:dyDescent="0.4">
      <c r="A50" t="s">
        <v>83</v>
      </c>
      <c r="B50" t="s">
        <v>75</v>
      </c>
      <c r="C50">
        <v>784.76241242765695</v>
      </c>
      <c r="D50">
        <v>697.87450274323101</v>
      </c>
      <c r="E50">
        <f t="shared" si="0"/>
        <v>784.76241242765695</v>
      </c>
      <c r="F50">
        <f t="shared" si="1"/>
        <v>697.87450274323101</v>
      </c>
    </row>
    <row r="51" spans="1:6" x14ac:dyDescent="0.4">
      <c r="A51" t="s">
        <v>83</v>
      </c>
      <c r="B51" t="s">
        <v>75</v>
      </c>
      <c r="C51">
        <v>801.49144945824696</v>
      </c>
      <c r="D51">
        <v>660.36031390629103</v>
      </c>
      <c r="E51">
        <f t="shared" si="0"/>
        <v>801.49144945824696</v>
      </c>
      <c r="F51">
        <f t="shared" si="1"/>
        <v>660.36031390629103</v>
      </c>
    </row>
    <row r="52" spans="1:6" x14ac:dyDescent="0.4">
      <c r="A52" t="s">
        <v>83</v>
      </c>
      <c r="B52" t="s">
        <v>75</v>
      </c>
      <c r="C52">
        <v>818.22048648883799</v>
      </c>
      <c r="D52">
        <v>673.96914834728796</v>
      </c>
      <c r="E52">
        <f t="shared" si="0"/>
        <v>818.22048648883799</v>
      </c>
      <c r="F52">
        <f t="shared" si="1"/>
        <v>673.96914834728796</v>
      </c>
    </row>
    <row r="53" spans="1:6" x14ac:dyDescent="0.4">
      <c r="A53" t="s">
        <v>83</v>
      </c>
      <c r="B53" t="s">
        <v>75</v>
      </c>
      <c r="C53">
        <v>834.94952351942902</v>
      </c>
      <c r="D53">
        <v>633.70795021177605</v>
      </c>
      <c r="E53">
        <f t="shared" si="0"/>
        <v>834.94952351942902</v>
      </c>
      <c r="F53">
        <f t="shared" si="1"/>
        <v>633.70795021177605</v>
      </c>
    </row>
    <row r="54" spans="1:6" x14ac:dyDescent="0.4">
      <c r="A54" t="s">
        <v>83</v>
      </c>
      <c r="B54" t="s">
        <v>75</v>
      </c>
      <c r="C54">
        <v>851.67856055001903</v>
      </c>
      <c r="D54">
        <v>648.624137784499</v>
      </c>
      <c r="E54">
        <f t="shared" si="0"/>
        <v>851.67856055001903</v>
      </c>
      <c r="F54">
        <f t="shared" si="1"/>
        <v>648.624137784499</v>
      </c>
    </row>
    <row r="55" spans="1:6" x14ac:dyDescent="0.4">
      <c r="A55" t="s">
        <v>83</v>
      </c>
      <c r="B55" t="s">
        <v>75</v>
      </c>
      <c r="C55">
        <v>868.40759758060994</v>
      </c>
      <c r="D55">
        <v>607.88809624341798</v>
      </c>
      <c r="E55">
        <f t="shared" si="0"/>
        <v>868.40759758060994</v>
      </c>
      <c r="F55">
        <f t="shared" si="1"/>
        <v>607.88809624341798</v>
      </c>
    </row>
    <row r="56" spans="1:6" x14ac:dyDescent="0.4">
      <c r="A56" t="s">
        <v>83</v>
      </c>
      <c r="B56" t="s">
        <v>75</v>
      </c>
      <c r="C56">
        <v>885.13663461119995</v>
      </c>
      <c r="D56">
        <v>619.67156746736202</v>
      </c>
      <c r="E56">
        <f t="shared" si="0"/>
        <v>885.13663461119995</v>
      </c>
      <c r="F56">
        <f t="shared" si="1"/>
        <v>619.67156746736202</v>
      </c>
    </row>
    <row r="57" spans="1:6" x14ac:dyDescent="0.4">
      <c r="A57" t="s">
        <v>83</v>
      </c>
      <c r="B57" t="s">
        <v>75</v>
      </c>
      <c r="C57">
        <v>901.86567164178996</v>
      </c>
      <c r="D57">
        <v>584.05392927873197</v>
      </c>
      <c r="E57">
        <f t="shared" si="0"/>
        <v>901.86567164178996</v>
      </c>
      <c r="F57">
        <f t="shared" si="1"/>
        <v>584.05392927873197</v>
      </c>
    </row>
    <row r="58" spans="1:6" x14ac:dyDescent="0.4">
      <c r="A58" t="s">
        <v>83</v>
      </c>
      <c r="B58" t="s">
        <v>75</v>
      </c>
      <c r="C58">
        <v>918.59470867238099</v>
      </c>
      <c r="D58">
        <v>595.90481701579597</v>
      </c>
      <c r="E58">
        <f t="shared" si="0"/>
        <v>918.59470867238099</v>
      </c>
      <c r="F58">
        <f t="shared" si="1"/>
        <v>595.90481701579597</v>
      </c>
    </row>
    <row r="59" spans="1:6" x14ac:dyDescent="0.4">
      <c r="A59" t="s">
        <v>83</v>
      </c>
      <c r="B59" t="s">
        <v>75</v>
      </c>
      <c r="C59">
        <v>935.323745702971</v>
      </c>
      <c r="D59">
        <v>560.25718322468094</v>
      </c>
      <c r="E59">
        <f t="shared" si="0"/>
        <v>935.323745702971</v>
      </c>
      <c r="F59">
        <f t="shared" si="1"/>
        <v>560.25718322468094</v>
      </c>
    </row>
    <row r="60" spans="1:6" x14ac:dyDescent="0.4">
      <c r="A60" t="s">
        <v>83</v>
      </c>
      <c r="B60" t="s">
        <v>75</v>
      </c>
      <c r="C60">
        <v>952.05278273356203</v>
      </c>
      <c r="D60">
        <v>573.16422560547005</v>
      </c>
      <c r="E60">
        <f t="shared" si="0"/>
        <v>952.05278273356203</v>
      </c>
      <c r="F60">
        <f t="shared" si="1"/>
        <v>573.16422560547005</v>
      </c>
    </row>
    <row r="61" spans="1:6" x14ac:dyDescent="0.4">
      <c r="A61" t="s">
        <v>83</v>
      </c>
      <c r="B61" t="s">
        <v>75</v>
      </c>
      <c r="C61">
        <v>968.78181976415203</v>
      </c>
      <c r="D61">
        <v>541.85477908260702</v>
      </c>
      <c r="E61">
        <f t="shared" si="0"/>
        <v>968.78181976415203</v>
      </c>
      <c r="F61">
        <f t="shared" si="1"/>
        <v>541.85477908260702</v>
      </c>
    </row>
    <row r="62" spans="1:6" x14ac:dyDescent="0.4">
      <c r="A62" t="s">
        <v>83</v>
      </c>
      <c r="B62" t="s">
        <v>75</v>
      </c>
      <c r="C62">
        <v>985.51085679474295</v>
      </c>
      <c r="D62">
        <v>543.76569384498498</v>
      </c>
      <c r="E62">
        <f t="shared" si="0"/>
        <v>985.51085679474295</v>
      </c>
      <c r="F62">
        <f t="shared" si="1"/>
        <v>543.76569384498498</v>
      </c>
    </row>
    <row r="63" spans="1:6" x14ac:dyDescent="0.4">
      <c r="A63" t="s">
        <v>83</v>
      </c>
      <c r="B63" t="s">
        <v>75</v>
      </c>
      <c r="C63">
        <v>995.39619685827404</v>
      </c>
      <c r="D63">
        <v>546.59699128846796</v>
      </c>
      <c r="E63">
        <f t="shared" si="0"/>
        <v>995.39619685827404</v>
      </c>
      <c r="F63">
        <f t="shared" si="1"/>
        <v>546.59699128846796</v>
      </c>
    </row>
    <row r="64" spans="1:6" x14ac:dyDescent="0.4">
      <c r="A64" t="s">
        <v>84</v>
      </c>
      <c r="B64" t="s">
        <v>75</v>
      </c>
      <c r="C64">
        <v>-10.1583917148943</v>
      </c>
      <c r="D64">
        <v>2.1127414675490002</v>
      </c>
      <c r="E64">
        <f t="shared" ref="E64:E125" si="2">C64</f>
        <v>-10.1583917148943</v>
      </c>
      <c r="F64">
        <f t="shared" ref="F64:F125" si="3">D64</f>
        <v>2.1127414675490002</v>
      </c>
    </row>
    <row r="65" spans="1:6" x14ac:dyDescent="0.4">
      <c r="A65" t="s">
        <v>84</v>
      </c>
      <c r="B65" t="s">
        <v>75</v>
      </c>
      <c r="C65">
        <v>-2.4121063289767299</v>
      </c>
      <c r="D65">
        <v>5.1502405874967696</v>
      </c>
      <c r="E65">
        <f t="shared" si="2"/>
        <v>-2.4121063289767299</v>
      </c>
      <c r="F65">
        <f t="shared" si="3"/>
        <v>5.1502405874967696</v>
      </c>
    </row>
    <row r="66" spans="1:6" x14ac:dyDescent="0.4">
      <c r="A66" t="s">
        <v>84</v>
      </c>
      <c r="B66" t="s">
        <v>75</v>
      </c>
      <c r="C66">
        <v>14.9989816005049</v>
      </c>
      <c r="D66">
        <v>5.6565259084441202</v>
      </c>
      <c r="E66">
        <f t="shared" si="2"/>
        <v>14.9989816005049</v>
      </c>
      <c r="F66">
        <f t="shared" si="3"/>
        <v>5.6565259084441202</v>
      </c>
    </row>
    <row r="67" spans="1:6" x14ac:dyDescent="0.4">
      <c r="A67" t="s">
        <v>84</v>
      </c>
      <c r="B67" t="s">
        <v>75</v>
      </c>
      <c r="C67">
        <v>31.438079831384499</v>
      </c>
      <c r="D67">
        <v>5.6163191745625696</v>
      </c>
      <c r="E67">
        <f t="shared" si="2"/>
        <v>31.438079831384499</v>
      </c>
      <c r="F67">
        <f t="shared" si="3"/>
        <v>5.6163191745625696</v>
      </c>
    </row>
    <row r="68" spans="1:6" x14ac:dyDescent="0.4">
      <c r="A68" t="s">
        <v>84</v>
      </c>
      <c r="B68" t="s">
        <v>75</v>
      </c>
      <c r="C68">
        <v>48.547082139698603</v>
      </c>
      <c r="D68">
        <v>5.4068461784361599</v>
      </c>
      <c r="E68">
        <f t="shared" si="2"/>
        <v>48.547082139698603</v>
      </c>
      <c r="F68">
        <f t="shared" si="3"/>
        <v>5.4068461784361599</v>
      </c>
    </row>
    <row r="69" spans="1:6" x14ac:dyDescent="0.4">
      <c r="A69" t="s">
        <v>84</v>
      </c>
      <c r="B69" t="s">
        <v>75</v>
      </c>
      <c r="C69">
        <v>65.331015135265403</v>
      </c>
      <c r="D69">
        <v>5.2600381385408399</v>
      </c>
      <c r="E69">
        <f t="shared" si="2"/>
        <v>65.331015135265403</v>
      </c>
      <c r="F69">
        <f t="shared" si="3"/>
        <v>5.2600381385408399</v>
      </c>
    </row>
    <row r="70" spans="1:6" x14ac:dyDescent="0.4">
      <c r="A70" t="s">
        <v>84</v>
      </c>
      <c r="B70" t="s">
        <v>75</v>
      </c>
      <c r="C70">
        <v>82.070963586055001</v>
      </c>
      <c r="D70">
        <v>5.2313361601061699</v>
      </c>
      <c r="E70">
        <f t="shared" si="2"/>
        <v>82.070963586055001</v>
      </c>
      <c r="F70">
        <f t="shared" si="3"/>
        <v>5.2313361601061699</v>
      </c>
    </row>
    <row r="71" spans="1:6" x14ac:dyDescent="0.4">
      <c r="A71" t="s">
        <v>84</v>
      </c>
      <c r="B71" t="s">
        <v>75</v>
      </c>
      <c r="C71">
        <v>98.913791141578002</v>
      </c>
      <c r="D71">
        <v>4.94119030437919</v>
      </c>
      <c r="E71">
        <f t="shared" si="2"/>
        <v>98.913791141578002</v>
      </c>
      <c r="F71">
        <f t="shared" si="3"/>
        <v>4.94119030437919</v>
      </c>
    </row>
    <row r="72" spans="1:6" x14ac:dyDescent="0.4">
      <c r="A72" t="s">
        <v>84</v>
      </c>
      <c r="B72" t="s">
        <v>75</v>
      </c>
      <c r="C72">
        <v>115.648317768666</v>
      </c>
      <c r="D72">
        <v>4.9276070561957699</v>
      </c>
      <c r="E72">
        <f t="shared" si="2"/>
        <v>115.648317768666</v>
      </c>
      <c r="F72">
        <f t="shared" si="3"/>
        <v>4.9276070561957699</v>
      </c>
    </row>
    <row r="73" spans="1:6" x14ac:dyDescent="0.4">
      <c r="A73" t="s">
        <v>84</v>
      </c>
      <c r="B73" t="s">
        <v>75</v>
      </c>
      <c r="C73">
        <v>132.48843441233799</v>
      </c>
      <c r="D73">
        <v>4.6606382718625303</v>
      </c>
      <c r="E73">
        <f t="shared" si="2"/>
        <v>132.48843441233799</v>
      </c>
      <c r="F73">
        <f t="shared" si="3"/>
        <v>4.6606382718625303</v>
      </c>
    </row>
    <row r="74" spans="1:6" x14ac:dyDescent="0.4">
      <c r="A74" t="s">
        <v>84</v>
      </c>
      <c r="B74" t="s">
        <v>75</v>
      </c>
      <c r="C74">
        <v>149.180573996275</v>
      </c>
      <c r="D74">
        <v>4.7476734611127904</v>
      </c>
      <c r="E74">
        <f t="shared" si="2"/>
        <v>149.180573996275</v>
      </c>
      <c r="F74">
        <f t="shared" si="3"/>
        <v>4.7476734611127904</v>
      </c>
    </row>
    <row r="75" spans="1:6" x14ac:dyDescent="0.4">
      <c r="A75" t="s">
        <v>84</v>
      </c>
      <c r="B75" t="s">
        <v>75</v>
      </c>
      <c r="C75">
        <v>166.04816766792001</v>
      </c>
      <c r="D75">
        <v>4.4290061537996603</v>
      </c>
      <c r="E75">
        <f t="shared" si="2"/>
        <v>166.04816766792001</v>
      </c>
      <c r="F75">
        <f t="shared" si="3"/>
        <v>4.4290061537996603</v>
      </c>
    </row>
    <row r="76" spans="1:6" x14ac:dyDescent="0.4">
      <c r="A76" t="s">
        <v>84</v>
      </c>
      <c r="B76" t="s">
        <v>75</v>
      </c>
      <c r="C76">
        <v>182.68716369775501</v>
      </c>
      <c r="D76">
        <v>4.6335644990302702</v>
      </c>
      <c r="E76">
        <f t="shared" si="2"/>
        <v>182.68716369775501</v>
      </c>
      <c r="F76">
        <f t="shared" si="3"/>
        <v>4.6335644990302702</v>
      </c>
    </row>
    <row r="77" spans="1:6" x14ac:dyDescent="0.4">
      <c r="A77" t="s">
        <v>84</v>
      </c>
      <c r="B77" t="s">
        <v>75</v>
      </c>
      <c r="C77">
        <v>199.603834555726</v>
      </c>
      <c r="D77">
        <v>4.2174771160898699</v>
      </c>
      <c r="E77">
        <f t="shared" si="2"/>
        <v>199.603834555726</v>
      </c>
      <c r="F77">
        <f t="shared" si="3"/>
        <v>4.2174771160898699</v>
      </c>
    </row>
    <row r="78" spans="1:6" x14ac:dyDescent="0.4">
      <c r="A78" t="s">
        <v>84</v>
      </c>
      <c r="B78" t="s">
        <v>75</v>
      </c>
      <c r="C78">
        <v>216.26378206143599</v>
      </c>
      <c r="D78">
        <v>4.3661524740171904</v>
      </c>
      <c r="E78">
        <f t="shared" si="2"/>
        <v>216.26378206143599</v>
      </c>
      <c r="F78">
        <f t="shared" si="3"/>
        <v>4.3661524740171904</v>
      </c>
    </row>
    <row r="79" spans="1:6" x14ac:dyDescent="0.4">
      <c r="A79" t="s">
        <v>84</v>
      </c>
      <c r="B79" t="s">
        <v>75</v>
      </c>
      <c r="C79">
        <v>233.14323597242699</v>
      </c>
      <c r="D79">
        <v>4.0489409593484504</v>
      </c>
      <c r="E79">
        <f t="shared" si="2"/>
        <v>233.14323597242699</v>
      </c>
      <c r="F79">
        <f t="shared" si="3"/>
        <v>4.0489409593484504</v>
      </c>
    </row>
    <row r="80" spans="1:6" x14ac:dyDescent="0.4">
      <c r="A80" t="s">
        <v>84</v>
      </c>
      <c r="B80" t="s">
        <v>75</v>
      </c>
      <c r="C80">
        <v>249.85905730774601</v>
      </c>
      <c r="D80">
        <v>4.0758625395507702</v>
      </c>
      <c r="E80">
        <f t="shared" si="2"/>
        <v>249.85905730774601</v>
      </c>
      <c r="F80">
        <f t="shared" si="3"/>
        <v>4.0758625395507702</v>
      </c>
    </row>
    <row r="81" spans="1:6" x14ac:dyDescent="0.4">
      <c r="A81" t="s">
        <v>84</v>
      </c>
      <c r="B81" t="s">
        <v>75</v>
      </c>
      <c r="C81">
        <v>266.68263738912901</v>
      </c>
      <c r="D81">
        <v>3.8871397380547701</v>
      </c>
      <c r="E81">
        <f t="shared" si="2"/>
        <v>266.68263738912901</v>
      </c>
      <c r="F81">
        <f t="shared" si="3"/>
        <v>3.8871397380547701</v>
      </c>
    </row>
    <row r="82" spans="1:6" x14ac:dyDescent="0.4">
      <c r="A82" t="s">
        <v>84</v>
      </c>
      <c r="B82" t="s">
        <v>75</v>
      </c>
      <c r="C82">
        <v>283.37987929644203</v>
      </c>
      <c r="D82">
        <v>3.9496119168348098</v>
      </c>
      <c r="E82">
        <f t="shared" si="2"/>
        <v>283.37987929644203</v>
      </c>
      <c r="F82">
        <f t="shared" si="3"/>
        <v>3.9496119168348098</v>
      </c>
    </row>
    <row r="83" spans="1:6" x14ac:dyDescent="0.4">
      <c r="A83" t="s">
        <v>84</v>
      </c>
      <c r="B83" t="s">
        <v>75</v>
      </c>
      <c r="C83">
        <v>301.02605007888002</v>
      </c>
      <c r="D83">
        <v>3.8091116793973101</v>
      </c>
      <c r="E83">
        <f t="shared" si="2"/>
        <v>301.02605007888002</v>
      </c>
      <c r="F83">
        <f t="shared" si="3"/>
        <v>3.8091116793973101</v>
      </c>
    </row>
    <row r="84" spans="1:6" x14ac:dyDescent="0.4">
      <c r="A84" t="s">
        <v>84</v>
      </c>
      <c r="B84" t="s">
        <v>75</v>
      </c>
      <c r="C84">
        <v>316.88356767678698</v>
      </c>
      <c r="D84">
        <v>3.8602962907098299</v>
      </c>
      <c r="E84">
        <f t="shared" si="2"/>
        <v>316.88356767678698</v>
      </c>
      <c r="F84">
        <f t="shared" si="3"/>
        <v>3.8602962907098299</v>
      </c>
    </row>
    <row r="85" spans="1:6" x14ac:dyDescent="0.4">
      <c r="A85" t="s">
        <v>84</v>
      </c>
      <c r="B85" t="s">
        <v>75</v>
      </c>
      <c r="C85">
        <v>333.75872931068102</v>
      </c>
      <c r="D85">
        <v>3.58754988055771</v>
      </c>
      <c r="E85">
        <f t="shared" si="2"/>
        <v>333.75872931068102</v>
      </c>
      <c r="F85">
        <f t="shared" si="3"/>
        <v>3.58754988055771</v>
      </c>
    </row>
    <row r="86" spans="1:6" x14ac:dyDescent="0.4">
      <c r="A86" t="s">
        <v>84</v>
      </c>
      <c r="B86" t="s">
        <v>75</v>
      </c>
      <c r="C86">
        <v>351.284350576458</v>
      </c>
      <c r="D86">
        <v>3.6755322299387498</v>
      </c>
      <c r="E86">
        <f t="shared" si="2"/>
        <v>351.284350576458</v>
      </c>
      <c r="F86">
        <f t="shared" si="3"/>
        <v>3.6755322299387498</v>
      </c>
    </row>
    <row r="87" spans="1:6" x14ac:dyDescent="0.4">
      <c r="A87" t="s">
        <v>84</v>
      </c>
      <c r="B87" t="s">
        <v>75</v>
      </c>
      <c r="C87">
        <v>367.27898491243701</v>
      </c>
      <c r="D87">
        <v>3.4774123357320099</v>
      </c>
      <c r="E87">
        <f t="shared" si="2"/>
        <v>367.27898491243701</v>
      </c>
      <c r="F87">
        <f t="shared" si="3"/>
        <v>3.4774123357320099</v>
      </c>
    </row>
    <row r="88" spans="1:6" x14ac:dyDescent="0.4">
      <c r="A88" t="s">
        <v>84</v>
      </c>
      <c r="B88" t="s">
        <v>75</v>
      </c>
      <c r="C88">
        <v>384.006797191781</v>
      </c>
      <c r="D88">
        <v>3.4795486576679999</v>
      </c>
      <c r="E88">
        <f t="shared" si="2"/>
        <v>384.006797191781</v>
      </c>
      <c r="F88">
        <f t="shared" si="3"/>
        <v>3.4795486576679999</v>
      </c>
    </row>
    <row r="89" spans="1:6" x14ac:dyDescent="0.4">
      <c r="A89" t="s">
        <v>84</v>
      </c>
      <c r="B89" t="s">
        <v>75</v>
      </c>
      <c r="C89">
        <v>400.78912300389402</v>
      </c>
      <c r="D89">
        <v>3.38780029565639</v>
      </c>
      <c r="E89">
        <f t="shared" si="2"/>
        <v>400.78912300389402</v>
      </c>
      <c r="F89">
        <f t="shared" si="3"/>
        <v>3.38780029565639</v>
      </c>
    </row>
    <row r="90" spans="1:6" x14ac:dyDescent="0.4">
      <c r="A90" t="s">
        <v>84</v>
      </c>
      <c r="B90" t="s">
        <v>75</v>
      </c>
      <c r="C90">
        <v>417.87704603620301</v>
      </c>
      <c r="D90">
        <v>3.2961019266353899</v>
      </c>
      <c r="E90">
        <f t="shared" si="2"/>
        <v>417.87704603620301</v>
      </c>
      <c r="F90">
        <f t="shared" si="3"/>
        <v>3.2961019266353899</v>
      </c>
    </row>
    <row r="91" spans="1:6" x14ac:dyDescent="0.4">
      <c r="A91" t="s">
        <v>84</v>
      </c>
      <c r="B91" t="s">
        <v>75</v>
      </c>
      <c r="C91">
        <v>434.33171942384803</v>
      </c>
      <c r="D91">
        <v>3.2472125000656802</v>
      </c>
      <c r="E91">
        <f t="shared" si="2"/>
        <v>434.33171942384803</v>
      </c>
      <c r="F91">
        <f t="shared" si="3"/>
        <v>3.2472125000656802</v>
      </c>
    </row>
    <row r="92" spans="1:6" x14ac:dyDescent="0.4">
      <c r="A92" t="s">
        <v>84</v>
      </c>
      <c r="B92" t="s">
        <v>75</v>
      </c>
      <c r="C92">
        <v>451.11884742266801</v>
      </c>
      <c r="D92">
        <v>3.1539861954275699</v>
      </c>
      <c r="E92">
        <f t="shared" si="2"/>
        <v>451.11884742266801</v>
      </c>
      <c r="F92">
        <f t="shared" si="3"/>
        <v>3.1539861954275699</v>
      </c>
    </row>
    <row r="93" spans="1:6" x14ac:dyDescent="0.4">
      <c r="A93" t="s">
        <v>84</v>
      </c>
      <c r="B93" t="s">
        <v>75</v>
      </c>
      <c r="C93">
        <v>467.87031079426998</v>
      </c>
      <c r="D93">
        <v>3.1187160078328802</v>
      </c>
      <c r="E93">
        <f t="shared" si="2"/>
        <v>467.87031079426998</v>
      </c>
      <c r="F93">
        <f t="shared" si="3"/>
        <v>3.1187160078328802</v>
      </c>
    </row>
    <row r="94" spans="1:6" x14ac:dyDescent="0.4">
      <c r="A94" t="s">
        <v>84</v>
      </c>
      <c r="B94" t="s">
        <v>75</v>
      </c>
      <c r="C94">
        <v>484.67228749002402</v>
      </c>
      <c r="D94">
        <v>3.0067075716022198</v>
      </c>
      <c r="E94">
        <f t="shared" si="2"/>
        <v>484.67228749002402</v>
      </c>
      <c r="F94">
        <f t="shared" si="3"/>
        <v>3.0067075716022198</v>
      </c>
    </row>
    <row r="95" spans="1:6" x14ac:dyDescent="0.4">
      <c r="A95" t="s">
        <v>84</v>
      </c>
      <c r="B95" t="s">
        <v>75</v>
      </c>
      <c r="C95">
        <v>501.39236882967901</v>
      </c>
      <c r="D95">
        <v>3.0202406026917301</v>
      </c>
      <c r="E95">
        <f t="shared" si="2"/>
        <v>501.39236882967901</v>
      </c>
      <c r="F95">
        <f t="shared" si="3"/>
        <v>3.0202406026917301</v>
      </c>
    </row>
    <row r="96" spans="1:6" x14ac:dyDescent="0.4">
      <c r="A96" t="s">
        <v>84</v>
      </c>
      <c r="B96" t="s">
        <v>75</v>
      </c>
      <c r="C96">
        <v>518.22489492016996</v>
      </c>
      <c r="D96">
        <v>2.8675032858554101</v>
      </c>
      <c r="E96">
        <f t="shared" si="2"/>
        <v>518.22489492016996</v>
      </c>
      <c r="F96">
        <f t="shared" si="3"/>
        <v>2.8675032858554101</v>
      </c>
    </row>
    <row r="97" spans="1:6" x14ac:dyDescent="0.4">
      <c r="A97" t="s">
        <v>84</v>
      </c>
      <c r="B97" t="s">
        <v>75</v>
      </c>
      <c r="C97">
        <v>534.95147760735301</v>
      </c>
      <c r="D97">
        <v>2.87103459534418</v>
      </c>
      <c r="E97">
        <f t="shared" si="2"/>
        <v>534.95147760735301</v>
      </c>
      <c r="F97">
        <f t="shared" si="3"/>
        <v>2.87103459534418</v>
      </c>
    </row>
    <row r="98" spans="1:6" x14ac:dyDescent="0.4">
      <c r="A98" t="s">
        <v>84</v>
      </c>
      <c r="B98" t="s">
        <v>75</v>
      </c>
      <c r="C98">
        <v>551.76754943109199</v>
      </c>
      <c r="D98">
        <v>2.7484268451329399</v>
      </c>
      <c r="E98">
        <f t="shared" si="2"/>
        <v>551.76754943109199</v>
      </c>
      <c r="F98">
        <f t="shared" si="3"/>
        <v>2.7484268451329399</v>
      </c>
    </row>
    <row r="99" spans="1:6" x14ac:dyDescent="0.4">
      <c r="A99" t="s">
        <v>84</v>
      </c>
      <c r="B99" t="s">
        <v>75</v>
      </c>
      <c r="C99">
        <v>568.45621323876298</v>
      </c>
      <c r="D99">
        <v>2.80463644119753</v>
      </c>
      <c r="E99">
        <f t="shared" si="2"/>
        <v>568.45621323876298</v>
      </c>
      <c r="F99">
        <f t="shared" si="3"/>
        <v>2.80463644119753</v>
      </c>
    </row>
    <row r="100" spans="1:6" x14ac:dyDescent="0.4">
      <c r="A100" t="s">
        <v>84</v>
      </c>
      <c r="B100" t="s">
        <v>75</v>
      </c>
      <c r="C100">
        <v>585.32615314007001</v>
      </c>
      <c r="D100">
        <v>2.6133107715769599</v>
      </c>
      <c r="E100">
        <f t="shared" si="2"/>
        <v>585.32615314007001</v>
      </c>
      <c r="F100">
        <f t="shared" si="3"/>
        <v>2.6133107715769599</v>
      </c>
    </row>
    <row r="101" spans="1:6" x14ac:dyDescent="0.4">
      <c r="A101" t="s">
        <v>84</v>
      </c>
      <c r="B101" t="s">
        <v>75</v>
      </c>
      <c r="C101">
        <v>601.96560098854695</v>
      </c>
      <c r="D101">
        <v>2.7333899389485499</v>
      </c>
      <c r="E101">
        <f t="shared" si="2"/>
        <v>601.96560098854695</v>
      </c>
      <c r="F101">
        <f t="shared" si="3"/>
        <v>2.7333899389485499</v>
      </c>
    </row>
    <row r="102" spans="1:6" x14ac:dyDescent="0.4">
      <c r="A102" t="s">
        <v>84</v>
      </c>
      <c r="B102" t="s">
        <v>75</v>
      </c>
      <c r="C102">
        <v>618.87685002281501</v>
      </c>
      <c r="D102">
        <v>2.49470884185977</v>
      </c>
      <c r="E102">
        <f t="shared" si="2"/>
        <v>618.87685002281501</v>
      </c>
      <c r="F102">
        <f t="shared" si="3"/>
        <v>2.49470884185977</v>
      </c>
    </row>
    <row r="103" spans="1:6" x14ac:dyDescent="0.4">
      <c r="A103" t="s">
        <v>84</v>
      </c>
      <c r="B103" t="s">
        <v>75</v>
      </c>
      <c r="C103">
        <v>635.54972276895705</v>
      </c>
      <c r="D103">
        <v>2.5659677833475198</v>
      </c>
      <c r="E103">
        <f t="shared" si="2"/>
        <v>635.54972276895705</v>
      </c>
      <c r="F103">
        <f t="shared" si="3"/>
        <v>2.5659677833475198</v>
      </c>
    </row>
    <row r="104" spans="1:6" x14ac:dyDescent="0.4">
      <c r="A104" t="s">
        <v>84</v>
      </c>
      <c r="B104" t="s">
        <v>75</v>
      </c>
      <c r="C104">
        <v>652.415573711555</v>
      </c>
      <c r="D104">
        <v>2.3958309426837201</v>
      </c>
      <c r="E104">
        <f t="shared" si="2"/>
        <v>652.415573711555</v>
      </c>
      <c r="F104">
        <f t="shared" si="3"/>
        <v>2.3958309426837201</v>
      </c>
    </row>
    <row r="105" spans="1:6" x14ac:dyDescent="0.4">
      <c r="A105" t="s">
        <v>84</v>
      </c>
      <c r="B105" t="s">
        <v>75</v>
      </c>
      <c r="C105">
        <v>669.05189755685103</v>
      </c>
      <c r="D105">
        <v>2.5098458057031099</v>
      </c>
      <c r="E105">
        <f t="shared" si="2"/>
        <v>669.05189755685103</v>
      </c>
      <c r="F105">
        <f t="shared" si="3"/>
        <v>2.5098458057031099</v>
      </c>
    </row>
    <row r="106" spans="1:6" x14ac:dyDescent="0.4">
      <c r="A106" t="s">
        <v>84</v>
      </c>
      <c r="B106" t="s">
        <v>75</v>
      </c>
      <c r="C106">
        <v>685.96175240788295</v>
      </c>
      <c r="D106">
        <v>2.2922867177553599</v>
      </c>
      <c r="E106">
        <f t="shared" si="2"/>
        <v>685.96175240788295</v>
      </c>
      <c r="F106">
        <f t="shared" si="3"/>
        <v>2.2922867177553599</v>
      </c>
    </row>
    <row r="107" spans="1:6" x14ac:dyDescent="0.4">
      <c r="A107" t="s">
        <v>84</v>
      </c>
      <c r="B107" t="s">
        <v>75</v>
      </c>
      <c r="C107">
        <v>702.66486634390105</v>
      </c>
      <c r="D107">
        <v>2.3222790906872701</v>
      </c>
      <c r="E107">
        <f t="shared" si="2"/>
        <v>702.66486634390105</v>
      </c>
      <c r="F107">
        <f t="shared" si="3"/>
        <v>2.3222790906872701</v>
      </c>
    </row>
    <row r="108" spans="1:6" x14ac:dyDescent="0.4">
      <c r="A108" t="s">
        <v>84</v>
      </c>
      <c r="B108" t="s">
        <v>75</v>
      </c>
      <c r="C108">
        <v>719.50115382458398</v>
      </c>
      <c r="D108">
        <v>2.2006838037558998</v>
      </c>
      <c r="E108">
        <f t="shared" si="2"/>
        <v>719.50115382458398</v>
      </c>
      <c r="F108">
        <f t="shared" si="3"/>
        <v>2.2006838037558998</v>
      </c>
    </row>
    <row r="109" spans="1:6" x14ac:dyDescent="0.4">
      <c r="A109" t="s">
        <v>84</v>
      </c>
      <c r="B109" t="s">
        <v>75</v>
      </c>
      <c r="C109">
        <v>736.23048131001599</v>
      </c>
      <c r="D109">
        <v>2.2003632994339002</v>
      </c>
      <c r="E109">
        <f t="shared" si="2"/>
        <v>736.23048131001599</v>
      </c>
      <c r="F109">
        <f t="shared" si="3"/>
        <v>2.2003632994339002</v>
      </c>
    </row>
    <row r="110" spans="1:6" x14ac:dyDescent="0.4">
      <c r="A110" t="s">
        <v>84</v>
      </c>
      <c r="B110" t="s">
        <v>75</v>
      </c>
      <c r="C110">
        <v>753.02487067986397</v>
      </c>
      <c r="D110">
        <v>2.12942380800847</v>
      </c>
      <c r="E110">
        <f t="shared" si="2"/>
        <v>753.02487067986397</v>
      </c>
      <c r="F110">
        <f t="shared" si="3"/>
        <v>2.12942380800847</v>
      </c>
    </row>
    <row r="111" spans="1:6" x14ac:dyDescent="0.4">
      <c r="A111" t="s">
        <v>84</v>
      </c>
      <c r="B111" t="s">
        <v>75</v>
      </c>
      <c r="C111">
        <v>769.72062158565905</v>
      </c>
      <c r="D111">
        <v>2.16526513855456</v>
      </c>
      <c r="E111">
        <f t="shared" si="2"/>
        <v>769.72062158565905</v>
      </c>
      <c r="F111">
        <f t="shared" si="3"/>
        <v>2.16526513855456</v>
      </c>
    </row>
    <row r="112" spans="1:6" x14ac:dyDescent="0.4">
      <c r="A112" t="s">
        <v>84</v>
      </c>
      <c r="B112" t="s">
        <v>75</v>
      </c>
      <c r="C112">
        <v>786.57521256224902</v>
      </c>
      <c r="D112">
        <v>2.0331443985743198</v>
      </c>
      <c r="E112">
        <f t="shared" si="2"/>
        <v>786.57521256224902</v>
      </c>
      <c r="F112">
        <f t="shared" si="3"/>
        <v>2.0331443985743198</v>
      </c>
    </row>
    <row r="113" spans="1:6" x14ac:dyDescent="0.4">
      <c r="A113" t="s">
        <v>84</v>
      </c>
      <c r="B113" t="s">
        <v>75</v>
      </c>
      <c r="C113">
        <v>803.29551658394905</v>
      </c>
      <c r="D113">
        <v>2.04206743471256</v>
      </c>
      <c r="E113">
        <f t="shared" si="2"/>
        <v>803.29551658394905</v>
      </c>
      <c r="F113">
        <f t="shared" si="3"/>
        <v>2.04206743471256</v>
      </c>
    </row>
    <row r="114" spans="1:6" x14ac:dyDescent="0.4">
      <c r="A114" t="s">
        <v>84</v>
      </c>
      <c r="B114" t="s">
        <v>75</v>
      </c>
      <c r="C114">
        <v>820.09437895835094</v>
      </c>
      <c r="D114">
        <v>1.9718036735387401</v>
      </c>
      <c r="E114">
        <f t="shared" si="2"/>
        <v>820.09437895835094</v>
      </c>
      <c r="F114">
        <f t="shared" si="3"/>
        <v>1.9718036735387401</v>
      </c>
    </row>
    <row r="115" spans="1:6" x14ac:dyDescent="0.4">
      <c r="A115" t="s">
        <v>84</v>
      </c>
      <c r="B115" t="s">
        <v>75</v>
      </c>
      <c r="C115">
        <v>836.84949883367597</v>
      </c>
      <c r="D115">
        <v>1.94618180245466</v>
      </c>
      <c r="E115">
        <f t="shared" si="2"/>
        <v>836.84949883367597</v>
      </c>
      <c r="F115">
        <f t="shared" si="3"/>
        <v>1.94618180245466</v>
      </c>
    </row>
    <row r="116" spans="1:6" x14ac:dyDescent="0.4">
      <c r="A116" t="s">
        <v>84</v>
      </c>
      <c r="B116" t="s">
        <v>75</v>
      </c>
      <c r="C116">
        <v>853.61719217634698</v>
      </c>
      <c r="D116">
        <v>1.9088197579572399</v>
      </c>
      <c r="E116">
        <f t="shared" si="2"/>
        <v>853.61719217634698</v>
      </c>
      <c r="F116">
        <f t="shared" si="3"/>
        <v>1.9088197579572399</v>
      </c>
    </row>
    <row r="117" spans="1:6" x14ac:dyDescent="0.4">
      <c r="A117" t="s">
        <v>84</v>
      </c>
      <c r="B117" t="s">
        <v>75</v>
      </c>
      <c r="C117">
        <v>870.36102626745605</v>
      </c>
      <c r="D117">
        <v>1.8947087062542001</v>
      </c>
      <c r="E117">
        <f t="shared" si="2"/>
        <v>870.36102626745605</v>
      </c>
      <c r="F117">
        <f t="shared" si="3"/>
        <v>1.8947087062542001</v>
      </c>
    </row>
    <row r="118" spans="1:6" x14ac:dyDescent="0.4">
      <c r="A118" t="s">
        <v>84</v>
      </c>
      <c r="B118" t="s">
        <v>75</v>
      </c>
      <c r="C118">
        <v>887.16359678199603</v>
      </c>
      <c r="D118">
        <v>1.8261165479600101</v>
      </c>
      <c r="E118">
        <f t="shared" si="2"/>
        <v>887.16359678199603</v>
      </c>
      <c r="F118">
        <f t="shared" si="3"/>
        <v>1.8261165479600101</v>
      </c>
    </row>
    <row r="119" spans="1:6" x14ac:dyDescent="0.4">
      <c r="A119" t="s">
        <v>84</v>
      </c>
      <c r="B119" t="s">
        <v>75</v>
      </c>
      <c r="C119">
        <v>903.92681066556202</v>
      </c>
      <c r="D119">
        <v>1.79508712865792</v>
      </c>
      <c r="E119">
        <f t="shared" si="2"/>
        <v>903.92681066556202</v>
      </c>
      <c r="F119">
        <f t="shared" si="3"/>
        <v>1.79508712865792</v>
      </c>
    </row>
    <row r="120" spans="1:6" x14ac:dyDescent="0.4">
      <c r="A120" t="s">
        <v>84</v>
      </c>
      <c r="B120" t="s">
        <v>75</v>
      </c>
      <c r="C120">
        <v>920.70754865787603</v>
      </c>
      <c r="D120">
        <v>1.7491466085574601</v>
      </c>
      <c r="E120">
        <f t="shared" si="2"/>
        <v>920.70754865787603</v>
      </c>
      <c r="F120">
        <f t="shared" si="3"/>
        <v>1.7491466085574601</v>
      </c>
    </row>
    <row r="121" spans="1:6" x14ac:dyDescent="0.4">
      <c r="A121" t="s">
        <v>84</v>
      </c>
      <c r="B121" t="s">
        <v>75</v>
      </c>
      <c r="C121">
        <v>937.47548727352398</v>
      </c>
      <c r="D121">
        <v>1.7153561803247701</v>
      </c>
      <c r="E121">
        <f t="shared" si="2"/>
        <v>937.47548727352398</v>
      </c>
      <c r="F121">
        <f t="shared" si="3"/>
        <v>1.7153561803247701</v>
      </c>
    </row>
    <row r="122" spans="1:6" x14ac:dyDescent="0.4">
      <c r="A122" t="s">
        <v>84</v>
      </c>
      <c r="B122" t="s">
        <v>75</v>
      </c>
      <c r="C122">
        <v>954.247918257381</v>
      </c>
      <c r="D122">
        <v>1.6784332442849601</v>
      </c>
      <c r="E122">
        <f t="shared" si="2"/>
        <v>954.247918257381</v>
      </c>
      <c r="F122">
        <f t="shared" si="3"/>
        <v>1.6784332442849601</v>
      </c>
    </row>
    <row r="123" spans="1:6" x14ac:dyDescent="0.4">
      <c r="A123" t="s">
        <v>84</v>
      </c>
      <c r="B123" t="s">
        <v>75</v>
      </c>
      <c r="C123">
        <v>971.00369649701304</v>
      </c>
      <c r="D123">
        <v>1.6560766422672599</v>
      </c>
      <c r="E123">
        <f t="shared" si="2"/>
        <v>971.00369649701304</v>
      </c>
      <c r="F123">
        <f t="shared" si="3"/>
        <v>1.6560766422672599</v>
      </c>
    </row>
    <row r="124" spans="1:6" x14ac:dyDescent="0.4">
      <c r="A124" t="s">
        <v>84</v>
      </c>
      <c r="B124" t="s">
        <v>75</v>
      </c>
      <c r="C124">
        <v>982.35752056686101</v>
      </c>
      <c r="D124">
        <v>1.7001153376590401</v>
      </c>
      <c r="E124">
        <f t="shared" si="2"/>
        <v>982.35752056686101</v>
      </c>
      <c r="F124">
        <f t="shared" si="3"/>
        <v>1.7001153376590401</v>
      </c>
    </row>
    <row r="125" spans="1:6" x14ac:dyDescent="0.4">
      <c r="A125" t="s">
        <v>84</v>
      </c>
      <c r="B125" t="s">
        <v>75</v>
      </c>
      <c r="C125">
        <v>-9.5138055222084805</v>
      </c>
      <c r="D125">
        <v>3.3838551534282399</v>
      </c>
      <c r="E125">
        <f t="shared" si="2"/>
        <v>-9.5138055222084805</v>
      </c>
      <c r="F125">
        <f t="shared" si="3"/>
        <v>3.3838551534282399</v>
      </c>
    </row>
    <row r="126" spans="1:6" x14ac:dyDescent="0.4">
      <c r="A126" t="s">
        <v>85</v>
      </c>
      <c r="B126" t="s">
        <v>75</v>
      </c>
      <c r="C126">
        <v>13.3655900825388</v>
      </c>
      <c r="D126">
        <v>0.67848545357434997</v>
      </c>
      <c r="E126">
        <f t="shared" ref="E126:E187" si="4">C126</f>
        <v>13.3655900825388</v>
      </c>
      <c r="F126">
        <f t="shared" ref="F126:F187" si="5">D126</f>
        <v>0.67848545357434997</v>
      </c>
    </row>
    <row r="127" spans="1:6" x14ac:dyDescent="0.4">
      <c r="A127" t="s">
        <v>85</v>
      </c>
      <c r="B127" t="s">
        <v>75</v>
      </c>
      <c r="C127">
        <v>11.0739473745873</v>
      </c>
      <c r="D127">
        <v>0.470216485770447</v>
      </c>
      <c r="E127">
        <f t="shared" si="4"/>
        <v>11.0739473745873</v>
      </c>
      <c r="F127">
        <f t="shared" si="5"/>
        <v>0.470216485770447</v>
      </c>
    </row>
    <row r="128" spans="1:6" x14ac:dyDescent="0.4">
      <c r="A128" t="s">
        <v>85</v>
      </c>
      <c r="B128" t="s">
        <v>75</v>
      </c>
      <c r="C128">
        <v>20.693360308423198</v>
      </c>
      <c r="D128">
        <v>2.1013209553305598</v>
      </c>
      <c r="E128">
        <f t="shared" si="4"/>
        <v>20.693360308423198</v>
      </c>
      <c r="F128">
        <f t="shared" si="5"/>
        <v>2.1013209553305598</v>
      </c>
    </row>
    <row r="129" spans="1:6" x14ac:dyDescent="0.4">
      <c r="A129" t="s">
        <v>85</v>
      </c>
      <c r="B129" t="s">
        <v>75</v>
      </c>
      <c r="C129">
        <v>33.275061634984397</v>
      </c>
      <c r="D129">
        <v>3.6619986916352101</v>
      </c>
      <c r="E129">
        <f t="shared" si="4"/>
        <v>33.275061634984397</v>
      </c>
      <c r="F129">
        <f t="shared" si="5"/>
        <v>3.6619986916352101</v>
      </c>
    </row>
    <row r="130" spans="1:6" x14ac:dyDescent="0.4">
      <c r="A130" t="s">
        <v>85</v>
      </c>
      <c r="B130" t="s">
        <v>75</v>
      </c>
      <c r="C130">
        <v>50.091528179405401</v>
      </c>
      <c r="D130">
        <v>4.4606598624056897</v>
      </c>
      <c r="E130">
        <f t="shared" si="4"/>
        <v>50.091528179405401</v>
      </c>
      <c r="F130">
        <f t="shared" si="5"/>
        <v>4.4606598624056897</v>
      </c>
    </row>
    <row r="131" spans="1:6" x14ac:dyDescent="0.4">
      <c r="A131" t="s">
        <v>85</v>
      </c>
      <c r="B131" t="s">
        <v>75</v>
      </c>
      <c r="C131">
        <v>65.535235509888906</v>
      </c>
      <c r="D131">
        <v>4.6479998221782299</v>
      </c>
      <c r="E131">
        <f t="shared" si="4"/>
        <v>65.535235509888906</v>
      </c>
      <c r="F131">
        <f t="shared" si="5"/>
        <v>4.6479998221782299</v>
      </c>
    </row>
    <row r="132" spans="1:6" x14ac:dyDescent="0.4">
      <c r="A132" t="s">
        <v>85</v>
      </c>
      <c r="B132" t="s">
        <v>75</v>
      </c>
      <c r="C132">
        <v>83.5815075877521</v>
      </c>
      <c r="D132">
        <v>4.79365029775858</v>
      </c>
      <c r="E132">
        <f t="shared" si="4"/>
        <v>83.5815075877521</v>
      </c>
      <c r="F132">
        <f t="shared" si="5"/>
        <v>4.79365029775858</v>
      </c>
    </row>
    <row r="133" spans="1:6" x14ac:dyDescent="0.4">
      <c r="A133" t="s">
        <v>85</v>
      </c>
      <c r="B133" t="s">
        <v>75</v>
      </c>
      <c r="C133">
        <v>100.29990950262</v>
      </c>
      <c r="D133">
        <v>4.6799793325149297</v>
      </c>
      <c r="E133">
        <f t="shared" si="4"/>
        <v>100.29990950262</v>
      </c>
      <c r="F133">
        <f t="shared" si="5"/>
        <v>4.6799793325149297</v>
      </c>
    </row>
    <row r="134" spans="1:6" x14ac:dyDescent="0.4">
      <c r="A134" t="s">
        <v>85</v>
      </c>
      <c r="B134" t="s">
        <v>75</v>
      </c>
      <c r="C134">
        <v>117.014323249093</v>
      </c>
      <c r="D134">
        <v>4.5280698403658599</v>
      </c>
      <c r="E134">
        <f t="shared" si="4"/>
        <v>117.014323249093</v>
      </c>
      <c r="F134">
        <f t="shared" si="5"/>
        <v>4.5280698403658599</v>
      </c>
    </row>
    <row r="135" spans="1:6" x14ac:dyDescent="0.4">
      <c r="A135" t="s">
        <v>85</v>
      </c>
      <c r="B135" t="s">
        <v>75</v>
      </c>
      <c r="C135">
        <v>133.731395774497</v>
      </c>
      <c r="D135">
        <v>4.4074551501158501</v>
      </c>
      <c r="E135">
        <f t="shared" si="4"/>
        <v>133.731395774497</v>
      </c>
      <c r="F135">
        <f t="shared" si="5"/>
        <v>4.4074551501158501</v>
      </c>
    </row>
    <row r="136" spans="1:6" x14ac:dyDescent="0.4">
      <c r="A136" t="s">
        <v>85</v>
      </c>
      <c r="B136" t="s">
        <v>75</v>
      </c>
      <c r="C136">
        <v>150.44802517007801</v>
      </c>
      <c r="D136">
        <v>4.2857656465290201</v>
      </c>
      <c r="E136">
        <f t="shared" si="4"/>
        <v>150.44802517007801</v>
      </c>
      <c r="F136">
        <f t="shared" si="5"/>
        <v>4.2857656465290201</v>
      </c>
    </row>
    <row r="137" spans="1:6" x14ac:dyDescent="0.4">
      <c r="A137" t="s">
        <v>85</v>
      </c>
      <c r="B137" t="s">
        <v>75</v>
      </c>
      <c r="C137">
        <v>167.170330847662</v>
      </c>
      <c r="D137">
        <v>4.2211588269688001</v>
      </c>
      <c r="E137">
        <f t="shared" si="4"/>
        <v>167.170330847662</v>
      </c>
      <c r="F137">
        <f t="shared" si="5"/>
        <v>4.2211588269688001</v>
      </c>
    </row>
    <row r="138" spans="1:6" x14ac:dyDescent="0.4">
      <c r="A138" t="s">
        <v>85</v>
      </c>
      <c r="B138" t="s">
        <v>75</v>
      </c>
      <c r="C138">
        <v>183.881283961241</v>
      </c>
      <c r="D138">
        <v>4.0523733884730397</v>
      </c>
      <c r="E138">
        <f t="shared" si="4"/>
        <v>183.881283961241</v>
      </c>
      <c r="F138">
        <f t="shared" si="5"/>
        <v>4.0523733884730397</v>
      </c>
    </row>
    <row r="139" spans="1:6" x14ac:dyDescent="0.4">
      <c r="A139" t="s">
        <v>85</v>
      </c>
      <c r="B139" t="s">
        <v>75</v>
      </c>
      <c r="C139">
        <v>200.60975125349</v>
      </c>
      <c r="D139">
        <v>4.0471668686669897</v>
      </c>
      <c r="E139">
        <f t="shared" si="4"/>
        <v>200.60975125349</v>
      </c>
      <c r="F139">
        <f t="shared" si="5"/>
        <v>4.0471668686669897</v>
      </c>
    </row>
    <row r="140" spans="1:6" x14ac:dyDescent="0.4">
      <c r="A140" t="s">
        <v>85</v>
      </c>
      <c r="B140" t="s">
        <v>75</v>
      </c>
      <c r="C140">
        <v>217.31498588222601</v>
      </c>
      <c r="D140">
        <v>3.8355244657231098</v>
      </c>
      <c r="E140">
        <f t="shared" si="4"/>
        <v>217.31498588222601</v>
      </c>
      <c r="F140">
        <f t="shared" si="5"/>
        <v>3.8355244657231098</v>
      </c>
    </row>
    <row r="141" spans="1:6" x14ac:dyDescent="0.4">
      <c r="A141" t="s">
        <v>85</v>
      </c>
      <c r="B141" t="s">
        <v>75</v>
      </c>
      <c r="C141">
        <v>234.04344262376401</v>
      </c>
      <c r="D141">
        <v>3.8305053571736498</v>
      </c>
      <c r="E141">
        <f t="shared" si="4"/>
        <v>234.04344262376401</v>
      </c>
      <c r="F141">
        <f t="shared" si="5"/>
        <v>3.8305053571736498</v>
      </c>
    </row>
    <row r="142" spans="1:6" x14ac:dyDescent="0.4">
      <c r="A142" t="s">
        <v>85</v>
      </c>
      <c r="B142" t="s">
        <v>75</v>
      </c>
      <c r="C142">
        <v>250.75755039964599</v>
      </c>
      <c r="D142">
        <v>3.7036113337148202</v>
      </c>
      <c r="E142">
        <f t="shared" si="4"/>
        <v>250.75755039964599</v>
      </c>
      <c r="F142">
        <f t="shared" si="5"/>
        <v>3.7036113337148202</v>
      </c>
    </row>
    <row r="143" spans="1:6" x14ac:dyDescent="0.4">
      <c r="A143" t="s">
        <v>85</v>
      </c>
      <c r="B143" t="s">
        <v>75</v>
      </c>
      <c r="C143">
        <v>267.48776910976102</v>
      </c>
      <c r="D143">
        <v>3.7135001892160302</v>
      </c>
      <c r="E143">
        <f t="shared" si="4"/>
        <v>267.48776910976102</v>
      </c>
      <c r="F143">
        <f t="shared" si="5"/>
        <v>3.7135001892160302</v>
      </c>
    </row>
    <row r="144" spans="1:6" x14ac:dyDescent="0.4">
      <c r="A144" t="s">
        <v>85</v>
      </c>
      <c r="B144" t="s">
        <v>75</v>
      </c>
      <c r="C144">
        <v>284.19169545045298</v>
      </c>
      <c r="D144">
        <v>3.50893217957434</v>
      </c>
      <c r="E144">
        <f t="shared" si="4"/>
        <v>284.19169545045298</v>
      </c>
      <c r="F144">
        <f t="shared" si="5"/>
        <v>3.50893217957434</v>
      </c>
    </row>
    <row r="145" spans="1:6" x14ac:dyDescent="0.4">
      <c r="A145" t="s">
        <v>85</v>
      </c>
      <c r="B145" t="s">
        <v>75</v>
      </c>
      <c r="C145">
        <v>300.92605003890401</v>
      </c>
      <c r="D145">
        <v>3.5512903478823898</v>
      </c>
      <c r="E145">
        <f t="shared" si="4"/>
        <v>300.92605003890401</v>
      </c>
      <c r="F145">
        <f t="shared" si="5"/>
        <v>3.5512903478823898</v>
      </c>
    </row>
    <row r="146" spans="1:6" x14ac:dyDescent="0.4">
      <c r="A146" t="s">
        <v>85</v>
      </c>
      <c r="B146" t="s">
        <v>75</v>
      </c>
      <c r="C146">
        <v>317.63071492929902</v>
      </c>
      <c r="D146">
        <v>3.3612551728165698</v>
      </c>
      <c r="E146">
        <f t="shared" si="4"/>
        <v>317.63071492929902</v>
      </c>
      <c r="F146">
        <f t="shared" si="5"/>
        <v>3.3612551728165698</v>
      </c>
    </row>
    <row r="147" spans="1:6" x14ac:dyDescent="0.4">
      <c r="A147" t="s">
        <v>85</v>
      </c>
      <c r="B147" t="s">
        <v>75</v>
      </c>
      <c r="C147">
        <v>334.369168468601</v>
      </c>
      <c r="D147">
        <v>3.4334415788565198</v>
      </c>
      <c r="E147">
        <f t="shared" si="4"/>
        <v>334.369168468601</v>
      </c>
      <c r="F147">
        <f t="shared" si="5"/>
        <v>3.4334415788565198</v>
      </c>
    </row>
    <row r="148" spans="1:6" x14ac:dyDescent="0.4">
      <c r="A148" t="s">
        <v>85</v>
      </c>
      <c r="B148" t="s">
        <v>75</v>
      </c>
      <c r="C148">
        <v>351.06530310992702</v>
      </c>
      <c r="D148">
        <v>3.1877578262143098</v>
      </c>
      <c r="E148">
        <f t="shared" si="4"/>
        <v>351.06530310992702</v>
      </c>
      <c r="F148">
        <f t="shared" si="5"/>
        <v>3.1877578262143098</v>
      </c>
    </row>
    <row r="149" spans="1:6" x14ac:dyDescent="0.4">
      <c r="A149" t="s">
        <v>85</v>
      </c>
      <c r="B149" t="s">
        <v>75</v>
      </c>
      <c r="C149">
        <v>367.810735943922</v>
      </c>
      <c r="D149">
        <v>3.3079063669443798</v>
      </c>
      <c r="E149">
        <f t="shared" si="4"/>
        <v>367.810735943922</v>
      </c>
      <c r="F149">
        <f t="shared" si="5"/>
        <v>3.3079063669443798</v>
      </c>
    </row>
    <row r="150" spans="1:6" x14ac:dyDescent="0.4">
      <c r="A150" t="s">
        <v>85</v>
      </c>
      <c r="B150" t="s">
        <v>75</v>
      </c>
      <c r="C150">
        <v>384.51052640627699</v>
      </c>
      <c r="D150">
        <v>3.0966460731871801</v>
      </c>
      <c r="E150">
        <f t="shared" si="4"/>
        <v>384.51052640627699</v>
      </c>
      <c r="F150">
        <f t="shared" si="5"/>
        <v>3.0966460731871801</v>
      </c>
    </row>
    <row r="151" spans="1:6" x14ac:dyDescent="0.4">
      <c r="A151" t="s">
        <v>85</v>
      </c>
      <c r="B151" t="s">
        <v>75</v>
      </c>
      <c r="C151">
        <v>401.249312292946</v>
      </c>
      <c r="D151">
        <v>3.1655228302734599</v>
      </c>
      <c r="E151">
        <f t="shared" si="4"/>
        <v>401.249312292946</v>
      </c>
      <c r="F151">
        <f t="shared" si="5"/>
        <v>3.1655228302734599</v>
      </c>
    </row>
    <row r="152" spans="1:6" x14ac:dyDescent="0.4">
      <c r="A152" t="s">
        <v>85</v>
      </c>
      <c r="B152" t="s">
        <v>75</v>
      </c>
      <c r="C152">
        <v>417.94644397637097</v>
      </c>
      <c r="D152">
        <v>2.9456301055444198</v>
      </c>
      <c r="E152">
        <f t="shared" si="4"/>
        <v>417.94644397637097</v>
      </c>
      <c r="F152">
        <f t="shared" si="5"/>
        <v>2.9456301055444198</v>
      </c>
    </row>
    <row r="153" spans="1:6" x14ac:dyDescent="0.4">
      <c r="A153" t="s">
        <v>85</v>
      </c>
      <c r="B153" t="s">
        <v>75</v>
      </c>
      <c r="C153">
        <v>434.68700238232702</v>
      </c>
      <c r="D153">
        <v>3.0232158631608601</v>
      </c>
      <c r="E153">
        <f t="shared" si="4"/>
        <v>434.68700238232702</v>
      </c>
      <c r="F153">
        <f t="shared" si="5"/>
        <v>3.0232158631608601</v>
      </c>
    </row>
    <row r="154" spans="1:6" x14ac:dyDescent="0.4">
      <c r="A154" t="s">
        <v>85</v>
      </c>
      <c r="B154" t="s">
        <v>75</v>
      </c>
      <c r="C154">
        <v>451.39255353236399</v>
      </c>
      <c r="D154">
        <v>2.86716703512</v>
      </c>
      <c r="E154">
        <f t="shared" si="4"/>
        <v>451.39255353236399</v>
      </c>
      <c r="F154">
        <f t="shared" si="5"/>
        <v>2.86716703512</v>
      </c>
    </row>
    <row r="155" spans="1:6" x14ac:dyDescent="0.4">
      <c r="A155" t="s">
        <v>85</v>
      </c>
      <c r="B155" t="s">
        <v>75</v>
      </c>
      <c r="C155">
        <v>468.12735125063801</v>
      </c>
      <c r="D155">
        <v>2.9046811655772902</v>
      </c>
      <c r="E155">
        <f t="shared" si="4"/>
        <v>468.12735125063801</v>
      </c>
      <c r="F155">
        <f t="shared" si="5"/>
        <v>2.9046811655772902</v>
      </c>
    </row>
    <row r="156" spans="1:6" x14ac:dyDescent="0.4">
      <c r="A156" t="s">
        <v>85</v>
      </c>
      <c r="B156" t="s">
        <v>75</v>
      </c>
      <c r="C156">
        <v>484.83157301121003</v>
      </c>
      <c r="D156">
        <v>2.7464993721524</v>
      </c>
      <c r="E156">
        <f t="shared" si="4"/>
        <v>484.83157301121003</v>
      </c>
      <c r="F156">
        <f t="shared" si="5"/>
        <v>2.7464993721524</v>
      </c>
    </row>
    <row r="157" spans="1:6" x14ac:dyDescent="0.4">
      <c r="A157" t="s">
        <v>85</v>
      </c>
      <c r="B157" t="s">
        <v>75</v>
      </c>
      <c r="C157">
        <v>501.56203790455999</v>
      </c>
      <c r="D157">
        <v>2.7553629196373501</v>
      </c>
      <c r="E157">
        <f t="shared" si="4"/>
        <v>501.56203790455999</v>
      </c>
      <c r="F157">
        <f t="shared" si="5"/>
        <v>2.7553629196373501</v>
      </c>
    </row>
    <row r="158" spans="1:6" x14ac:dyDescent="0.4">
      <c r="A158" t="s">
        <v>85</v>
      </c>
      <c r="B158" t="s">
        <v>75</v>
      </c>
      <c r="C158">
        <v>518.27014936023397</v>
      </c>
      <c r="D158">
        <v>2.62828070127969</v>
      </c>
      <c r="E158">
        <f t="shared" si="4"/>
        <v>518.27014936023397</v>
      </c>
      <c r="F158">
        <f t="shared" si="5"/>
        <v>2.62828070127969</v>
      </c>
    </row>
    <row r="159" spans="1:6" x14ac:dyDescent="0.4">
      <c r="A159" t="s">
        <v>85</v>
      </c>
      <c r="B159" t="s">
        <v>75</v>
      </c>
      <c r="C159">
        <v>535.00273142939898</v>
      </c>
      <c r="D159">
        <v>2.64938994638241</v>
      </c>
      <c r="E159">
        <f t="shared" si="4"/>
        <v>535.00273142939898</v>
      </c>
      <c r="F159">
        <f t="shared" si="5"/>
        <v>2.64938994638241</v>
      </c>
    </row>
    <row r="160" spans="1:6" x14ac:dyDescent="0.4">
      <c r="A160" t="s">
        <v>85</v>
      </c>
      <c r="B160" t="s">
        <v>75</v>
      </c>
      <c r="C160">
        <v>551.71293544256503</v>
      </c>
      <c r="D160">
        <v>2.5391568368109301</v>
      </c>
      <c r="E160">
        <f t="shared" si="4"/>
        <v>551.71293544256503</v>
      </c>
      <c r="F160">
        <f t="shared" si="5"/>
        <v>2.5391568368109301</v>
      </c>
    </row>
    <row r="161" spans="1:6" x14ac:dyDescent="0.4">
      <c r="A161" t="s">
        <v>85</v>
      </c>
      <c r="B161" t="s">
        <v>75</v>
      </c>
      <c r="C161">
        <v>568.44175090824501</v>
      </c>
      <c r="D161">
        <v>2.53788765537394</v>
      </c>
      <c r="E161">
        <f t="shared" si="4"/>
        <v>568.44175090824501</v>
      </c>
      <c r="F161">
        <f t="shared" si="5"/>
        <v>2.53788765537394</v>
      </c>
    </row>
    <row r="162" spans="1:6" x14ac:dyDescent="0.4">
      <c r="A162" t="s">
        <v>85</v>
      </c>
      <c r="B162" t="s">
        <v>75</v>
      </c>
      <c r="C162">
        <v>584.54861116092104</v>
      </c>
      <c r="D162">
        <v>2.4598079331940199</v>
      </c>
      <c r="E162">
        <f t="shared" si="4"/>
        <v>584.54861116092104</v>
      </c>
      <c r="F162">
        <f t="shared" si="5"/>
        <v>2.4598079331940199</v>
      </c>
    </row>
    <row r="163" spans="1:6" x14ac:dyDescent="0.4">
      <c r="A163" t="s">
        <v>85</v>
      </c>
      <c r="B163" t="s">
        <v>75</v>
      </c>
      <c r="C163">
        <v>601.87808698983702</v>
      </c>
      <c r="D163">
        <v>2.4164019263777901</v>
      </c>
      <c r="E163">
        <f t="shared" si="4"/>
        <v>601.87808698983702</v>
      </c>
      <c r="F163">
        <f t="shared" si="5"/>
        <v>2.4164019263777901</v>
      </c>
    </row>
    <row r="164" spans="1:6" x14ac:dyDescent="0.4">
      <c r="A164" t="s">
        <v>85</v>
      </c>
      <c r="B164" t="s">
        <v>75</v>
      </c>
      <c r="C164">
        <v>618.59440865637498</v>
      </c>
      <c r="D164">
        <v>2.3480541947260698</v>
      </c>
      <c r="E164">
        <f t="shared" si="4"/>
        <v>618.59440865637498</v>
      </c>
      <c r="F164">
        <f t="shared" si="5"/>
        <v>2.3480541947260698</v>
      </c>
    </row>
    <row r="165" spans="1:6" x14ac:dyDescent="0.4">
      <c r="A165" t="s">
        <v>85</v>
      </c>
      <c r="B165" t="s">
        <v>75</v>
      </c>
      <c r="C165">
        <v>635.31535856771904</v>
      </c>
      <c r="D165">
        <v>2.3055935029363699</v>
      </c>
      <c r="E165">
        <f t="shared" si="4"/>
        <v>635.31535856771904</v>
      </c>
      <c r="F165">
        <f t="shared" si="5"/>
        <v>2.3055935029363699</v>
      </c>
    </row>
    <row r="166" spans="1:6" x14ac:dyDescent="0.4">
      <c r="A166" t="s">
        <v>85</v>
      </c>
      <c r="B166" t="s">
        <v>75</v>
      </c>
      <c r="C166">
        <v>652.03591282743605</v>
      </c>
      <c r="D166">
        <v>2.2618803318084999</v>
      </c>
      <c r="E166">
        <f t="shared" si="4"/>
        <v>652.03591282743605</v>
      </c>
      <c r="F166">
        <f t="shared" si="5"/>
        <v>2.2618803318084999</v>
      </c>
    </row>
    <row r="167" spans="1:6" x14ac:dyDescent="0.4">
      <c r="A167" t="s">
        <v>85</v>
      </c>
      <c r="B167" t="s">
        <v>75</v>
      </c>
      <c r="C167">
        <v>668.75570743602998</v>
      </c>
      <c r="D167">
        <v>2.2151954496741499</v>
      </c>
      <c r="E167">
        <f t="shared" si="4"/>
        <v>668.75570743602998</v>
      </c>
      <c r="F167">
        <f t="shared" si="5"/>
        <v>2.2151954496741499</v>
      </c>
    </row>
    <row r="168" spans="1:6" x14ac:dyDescent="0.4">
      <c r="A168" t="s">
        <v>85</v>
      </c>
      <c r="B168" t="s">
        <v>75</v>
      </c>
      <c r="C168">
        <v>685.47942690876005</v>
      </c>
      <c r="D168">
        <v>2.18877361070835</v>
      </c>
      <c r="E168">
        <f t="shared" si="4"/>
        <v>685.47942690876005</v>
      </c>
      <c r="F168">
        <f t="shared" si="5"/>
        <v>2.18877361070835</v>
      </c>
    </row>
    <row r="169" spans="1:6" x14ac:dyDescent="0.4">
      <c r="A169" t="s">
        <v>85</v>
      </c>
      <c r="B169" t="s">
        <v>75</v>
      </c>
      <c r="C169">
        <v>702.19517004469799</v>
      </c>
      <c r="D169">
        <v>2.1240895737323999</v>
      </c>
      <c r="E169">
        <f t="shared" si="4"/>
        <v>702.19517004469799</v>
      </c>
      <c r="F169">
        <f t="shared" si="5"/>
        <v>2.1240895737323999</v>
      </c>
    </row>
    <row r="170" spans="1:6" x14ac:dyDescent="0.4">
      <c r="A170" t="s">
        <v>85</v>
      </c>
      <c r="B170" t="s">
        <v>75</v>
      </c>
      <c r="C170">
        <v>718.92154829635797</v>
      </c>
      <c r="D170">
        <v>2.11138398862014</v>
      </c>
      <c r="E170">
        <f t="shared" si="4"/>
        <v>718.92154829635797</v>
      </c>
      <c r="F170">
        <f t="shared" si="5"/>
        <v>2.11138398862014</v>
      </c>
    </row>
    <row r="171" spans="1:6" x14ac:dyDescent="0.4">
      <c r="A171" t="s">
        <v>85</v>
      </c>
      <c r="B171" t="s">
        <v>75</v>
      </c>
      <c r="C171">
        <v>735.63020135514796</v>
      </c>
      <c r="D171">
        <v>2.0164661289360599</v>
      </c>
      <c r="E171">
        <f t="shared" si="4"/>
        <v>735.63020135514796</v>
      </c>
      <c r="F171">
        <f t="shared" si="5"/>
        <v>2.0164661289360599</v>
      </c>
    </row>
    <row r="172" spans="1:6" x14ac:dyDescent="0.4">
      <c r="A172" t="s">
        <v>85</v>
      </c>
      <c r="B172" t="s">
        <v>75</v>
      </c>
      <c r="C172">
        <v>752.36234029448997</v>
      </c>
      <c r="D172">
        <v>2.0306300186300401</v>
      </c>
      <c r="E172">
        <f t="shared" si="4"/>
        <v>752.36234029448997</v>
      </c>
      <c r="F172">
        <f t="shared" si="5"/>
        <v>2.0306300186300401</v>
      </c>
    </row>
    <row r="173" spans="1:6" x14ac:dyDescent="0.4">
      <c r="A173" t="s">
        <v>85</v>
      </c>
      <c r="B173" t="s">
        <v>75</v>
      </c>
      <c r="C173">
        <v>769.069220833994</v>
      </c>
      <c r="D173">
        <v>1.9316010854099701</v>
      </c>
      <c r="E173">
        <f t="shared" si="4"/>
        <v>769.069220833994</v>
      </c>
      <c r="F173">
        <f t="shared" si="5"/>
        <v>1.9316010854099701</v>
      </c>
    </row>
    <row r="174" spans="1:6" x14ac:dyDescent="0.4">
      <c r="A174" t="s">
        <v>85</v>
      </c>
      <c r="B174" t="s">
        <v>75</v>
      </c>
      <c r="C174">
        <v>785.80534794173195</v>
      </c>
      <c r="D174">
        <v>1.96275330070778</v>
      </c>
      <c r="E174">
        <f t="shared" si="4"/>
        <v>785.80534794173195</v>
      </c>
      <c r="F174">
        <f t="shared" si="5"/>
        <v>1.96275330070778</v>
      </c>
    </row>
    <row r="175" spans="1:6" x14ac:dyDescent="0.4">
      <c r="A175" t="s">
        <v>85</v>
      </c>
      <c r="B175" t="s">
        <v>75</v>
      </c>
      <c r="C175">
        <v>802.50956970230504</v>
      </c>
      <c r="D175">
        <v>1.85586658252476</v>
      </c>
      <c r="E175">
        <f t="shared" si="4"/>
        <v>802.50956970230504</v>
      </c>
      <c r="F175">
        <f t="shared" si="5"/>
        <v>1.85586658252476</v>
      </c>
    </row>
    <row r="176" spans="1:6" x14ac:dyDescent="0.4">
      <c r="A176" t="s">
        <v>85</v>
      </c>
      <c r="B176" t="s">
        <v>75</v>
      </c>
      <c r="C176">
        <v>819.24392429075601</v>
      </c>
      <c r="D176">
        <v>1.87826972542888</v>
      </c>
      <c r="E176">
        <f t="shared" si="4"/>
        <v>819.24392429075601</v>
      </c>
      <c r="F176">
        <f t="shared" si="5"/>
        <v>1.87826972542888</v>
      </c>
    </row>
    <row r="177" spans="1:6" x14ac:dyDescent="0.4">
      <c r="A177" t="s">
        <v>85</v>
      </c>
      <c r="B177" t="s">
        <v>75</v>
      </c>
      <c r="C177">
        <v>835.94903231097305</v>
      </c>
      <c r="D177">
        <v>1.7795390735201699</v>
      </c>
      <c r="E177">
        <f t="shared" si="4"/>
        <v>835.94903231097305</v>
      </c>
      <c r="F177">
        <f t="shared" si="5"/>
        <v>1.7795390735201699</v>
      </c>
    </row>
    <row r="178" spans="1:6" x14ac:dyDescent="0.4">
      <c r="A178" t="s">
        <v>85</v>
      </c>
      <c r="B178" t="s">
        <v>75</v>
      </c>
      <c r="C178">
        <v>852.68560254853298</v>
      </c>
      <c r="D178">
        <v>1.8100479133295799</v>
      </c>
      <c r="E178">
        <f t="shared" si="4"/>
        <v>852.68560254853298</v>
      </c>
      <c r="F178">
        <f t="shared" si="5"/>
        <v>1.8100479133295799</v>
      </c>
    </row>
    <row r="179" spans="1:6" x14ac:dyDescent="0.4">
      <c r="A179" t="s">
        <v>85</v>
      </c>
      <c r="B179" t="s">
        <v>75</v>
      </c>
      <c r="C179">
        <v>869.38982430910505</v>
      </c>
      <c r="D179">
        <v>1.71147715502793</v>
      </c>
      <c r="E179">
        <f t="shared" si="4"/>
        <v>869.38982430910505</v>
      </c>
      <c r="F179">
        <f t="shared" si="5"/>
        <v>1.71147715502793</v>
      </c>
    </row>
    <row r="180" spans="1:6" x14ac:dyDescent="0.4">
      <c r="A180" t="s">
        <v>85</v>
      </c>
      <c r="B180" t="s">
        <v>75</v>
      </c>
      <c r="C180">
        <v>886.12567709838299</v>
      </c>
      <c r="D180">
        <v>1.7380031130989499</v>
      </c>
      <c r="E180">
        <f t="shared" si="4"/>
        <v>886.12567709838299</v>
      </c>
      <c r="F180">
        <f t="shared" si="5"/>
        <v>1.7380031130989499</v>
      </c>
    </row>
    <row r="181" spans="1:6" x14ac:dyDescent="0.4">
      <c r="A181" t="s">
        <v>85</v>
      </c>
      <c r="B181" t="s">
        <v>75</v>
      </c>
      <c r="C181">
        <v>902.83017317741599</v>
      </c>
      <c r="D181">
        <v>1.6443733039716899</v>
      </c>
      <c r="E181">
        <f t="shared" si="4"/>
        <v>902.83017317741599</v>
      </c>
      <c r="F181">
        <f t="shared" si="5"/>
        <v>1.6443733039716899</v>
      </c>
    </row>
    <row r="182" spans="1:6" x14ac:dyDescent="0.4">
      <c r="A182" t="s">
        <v>85</v>
      </c>
      <c r="B182" t="s">
        <v>75</v>
      </c>
      <c r="C182">
        <v>919.56053959747203</v>
      </c>
      <c r="D182">
        <v>1.6493135204328599</v>
      </c>
      <c r="E182">
        <f t="shared" si="4"/>
        <v>919.56053959747203</v>
      </c>
      <c r="F182">
        <f t="shared" si="5"/>
        <v>1.6493135204328599</v>
      </c>
    </row>
    <row r="183" spans="1:6" x14ac:dyDescent="0.4">
      <c r="A183" t="s">
        <v>85</v>
      </c>
      <c r="B183" t="s">
        <v>75</v>
      </c>
      <c r="C183">
        <v>936.12096573088797</v>
      </c>
      <c r="D183">
        <v>1.5889310492793001</v>
      </c>
      <c r="E183">
        <f t="shared" si="4"/>
        <v>936.12096573088797</v>
      </c>
      <c r="F183">
        <f t="shared" si="5"/>
        <v>1.5889310492793001</v>
      </c>
    </row>
    <row r="184" spans="1:6" x14ac:dyDescent="0.4">
      <c r="A184" t="s">
        <v>85</v>
      </c>
      <c r="B184" t="s">
        <v>75</v>
      </c>
      <c r="C184">
        <v>953.00354724471299</v>
      </c>
      <c r="D184">
        <v>1.59418285282492</v>
      </c>
      <c r="E184">
        <f t="shared" si="4"/>
        <v>953.00354724471299</v>
      </c>
      <c r="F184">
        <f t="shared" si="5"/>
        <v>1.59418285282492</v>
      </c>
    </row>
    <row r="185" spans="1:6" x14ac:dyDescent="0.4">
      <c r="A185" t="s">
        <v>85</v>
      </c>
      <c r="B185" t="s">
        <v>75</v>
      </c>
      <c r="C185">
        <v>969.25562149166694</v>
      </c>
      <c r="D185">
        <v>1.52137452810825</v>
      </c>
      <c r="E185">
        <f t="shared" si="4"/>
        <v>969.25562149166694</v>
      </c>
      <c r="F185">
        <f t="shared" si="5"/>
        <v>1.52137452810825</v>
      </c>
    </row>
    <row r="186" spans="1:6" x14ac:dyDescent="0.4">
      <c r="A186" t="s">
        <v>85</v>
      </c>
      <c r="B186" t="s">
        <v>75</v>
      </c>
      <c r="C186">
        <v>986.44389611302495</v>
      </c>
      <c r="D186">
        <v>1.5316778942292899</v>
      </c>
      <c r="E186">
        <f t="shared" si="4"/>
        <v>986.44389611302495</v>
      </c>
      <c r="F186">
        <f t="shared" si="5"/>
        <v>1.5316778942292899</v>
      </c>
    </row>
    <row r="187" spans="1:6" x14ac:dyDescent="0.4">
      <c r="A187" t="s">
        <v>85</v>
      </c>
      <c r="B187" t="s">
        <v>75</v>
      </c>
      <c r="C187">
        <v>997.84462938447496</v>
      </c>
      <c r="D187">
        <v>1.5130304591378201</v>
      </c>
      <c r="E187">
        <f t="shared" si="4"/>
        <v>997.84462938447496</v>
      </c>
      <c r="F187">
        <f t="shared" si="5"/>
        <v>1.5130304591378201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382AC-4A68-4C2A-A048-138F12524966}">
  <dimension ref="A1:E126"/>
  <sheetViews>
    <sheetView workbookViewId="0">
      <selection sqref="A1:E126"/>
    </sheetView>
  </sheetViews>
  <sheetFormatPr defaultRowHeight="14.6" x14ac:dyDescent="0.4"/>
  <sheetData>
    <row r="1" spans="1:5" x14ac:dyDescent="0.4">
      <c r="A1" t="s">
        <v>13</v>
      </c>
      <c r="B1" t="s">
        <v>10</v>
      </c>
      <c r="C1" t="s">
        <v>8</v>
      </c>
      <c r="D1" t="s">
        <v>9</v>
      </c>
      <c r="E1" t="s">
        <v>14</v>
      </c>
    </row>
    <row r="2" spans="1:5" x14ac:dyDescent="0.4">
      <c r="A2" t="s">
        <v>7</v>
      </c>
      <c r="B2" t="s">
        <v>11</v>
      </c>
      <c r="C2">
        <v>-11.007904783629</v>
      </c>
      <c r="D2">
        <v>4.7405785605158099</v>
      </c>
      <c r="E2">
        <f>(C2/365+70)*24*365</f>
        <v>612935.81028519303</v>
      </c>
    </row>
    <row r="3" spans="1:5" x14ac:dyDescent="0.4">
      <c r="A3" t="s">
        <v>7</v>
      </c>
      <c r="B3" t="s">
        <v>11</v>
      </c>
      <c r="C3">
        <v>-11.103492669434599</v>
      </c>
      <c r="D3">
        <v>2.9867964546180699</v>
      </c>
      <c r="E3">
        <f t="shared" ref="E3:E66" si="0">(C3/365+70)*24*365</f>
        <v>612933.51617593353</v>
      </c>
    </row>
    <row r="4" spans="1:5" x14ac:dyDescent="0.4">
      <c r="A4" t="s">
        <v>7</v>
      </c>
      <c r="B4" t="s">
        <v>11</v>
      </c>
      <c r="C4">
        <v>-11.187433959446301</v>
      </c>
      <c r="D4">
        <v>2.4145005461939899</v>
      </c>
      <c r="E4">
        <f t="shared" si="0"/>
        <v>612931.5015849733</v>
      </c>
    </row>
    <row r="5" spans="1:5" x14ac:dyDescent="0.4">
      <c r="A5" t="s">
        <v>7</v>
      </c>
      <c r="B5" t="s">
        <v>11</v>
      </c>
      <c r="C5">
        <v>-11.141030299124701</v>
      </c>
      <c r="D5">
        <v>2.0685722816896499</v>
      </c>
      <c r="E5">
        <f t="shared" si="0"/>
        <v>612932.61527282104</v>
      </c>
    </row>
    <row r="6" spans="1:5" x14ac:dyDescent="0.4">
      <c r="A6" t="s">
        <v>7</v>
      </c>
      <c r="B6" t="s">
        <v>11</v>
      </c>
      <c r="C6">
        <v>-11.2181790656687</v>
      </c>
      <c r="D6">
        <v>1.78714835837734</v>
      </c>
      <c r="E6">
        <f t="shared" si="0"/>
        <v>612930.76370242389</v>
      </c>
    </row>
    <row r="7" spans="1:5" x14ac:dyDescent="0.4">
      <c r="A7" t="s">
        <v>7</v>
      </c>
      <c r="B7" t="s">
        <v>11</v>
      </c>
      <c r="C7">
        <v>-11.332579460914699</v>
      </c>
      <c r="D7">
        <v>1.54509215749729</v>
      </c>
      <c r="E7">
        <f t="shared" si="0"/>
        <v>612928.018092938</v>
      </c>
    </row>
    <row r="8" spans="1:5" x14ac:dyDescent="0.4">
      <c r="A8" t="s">
        <v>7</v>
      </c>
      <c r="B8" t="s">
        <v>11</v>
      </c>
      <c r="C8">
        <v>-10.871462451118401</v>
      </c>
      <c r="D8">
        <v>8.56228596124296</v>
      </c>
      <c r="E8">
        <f t="shared" si="0"/>
        <v>612939.08490117313</v>
      </c>
    </row>
    <row r="9" spans="1:5" x14ac:dyDescent="0.4">
      <c r="A9" t="s">
        <v>7</v>
      </c>
      <c r="B9" t="s">
        <v>11</v>
      </c>
      <c r="C9">
        <v>-10.9619221803176</v>
      </c>
      <c r="D9">
        <v>6.4939365728644098</v>
      </c>
      <c r="E9">
        <f t="shared" si="0"/>
        <v>612936.91386767232</v>
      </c>
    </row>
    <row r="10" spans="1:5" x14ac:dyDescent="0.4">
      <c r="A10" t="s">
        <v>7</v>
      </c>
      <c r="B10" t="s">
        <v>11</v>
      </c>
      <c r="C10">
        <v>-11.075893574081499</v>
      </c>
      <c r="D10">
        <v>3.9129273303141998</v>
      </c>
      <c r="E10">
        <f t="shared" si="0"/>
        <v>612934.1785542221</v>
      </c>
    </row>
    <row r="11" spans="1:5" x14ac:dyDescent="0.4">
      <c r="A11" t="s">
        <v>7</v>
      </c>
      <c r="B11" t="s">
        <v>11</v>
      </c>
      <c r="C11">
        <v>-10.9815132480035</v>
      </c>
      <c r="D11">
        <v>5.3610024393160201</v>
      </c>
      <c r="E11">
        <f t="shared" si="0"/>
        <v>612936.44368204789</v>
      </c>
    </row>
    <row r="12" spans="1:5" x14ac:dyDescent="0.4">
      <c r="A12" t="s">
        <v>7</v>
      </c>
      <c r="B12" t="s">
        <v>11</v>
      </c>
      <c r="C12">
        <v>-10.6290510778885</v>
      </c>
      <c r="D12">
        <v>14.781604372459499</v>
      </c>
      <c r="E12">
        <f t="shared" si="0"/>
        <v>612944.90277413069</v>
      </c>
    </row>
    <row r="13" spans="1:5" x14ac:dyDescent="0.4">
      <c r="A13" t="s">
        <v>7</v>
      </c>
      <c r="B13" t="s">
        <v>11</v>
      </c>
      <c r="C13">
        <v>-10.719107341408</v>
      </c>
      <c r="D13">
        <v>11.255236310263999</v>
      </c>
      <c r="E13">
        <f t="shared" si="0"/>
        <v>612942.74142380618</v>
      </c>
    </row>
    <row r="14" spans="1:5" x14ac:dyDescent="0.4">
      <c r="A14" t="s">
        <v>7</v>
      </c>
      <c r="B14" t="s">
        <v>11</v>
      </c>
      <c r="C14">
        <v>-10.2923223668934</v>
      </c>
      <c r="D14">
        <v>19.008934711651602</v>
      </c>
      <c r="E14">
        <f t="shared" si="0"/>
        <v>612952.98426319449</v>
      </c>
    </row>
    <row r="15" spans="1:5" x14ac:dyDescent="0.4">
      <c r="A15" t="s">
        <v>7</v>
      </c>
      <c r="B15" t="s">
        <v>11</v>
      </c>
      <c r="C15">
        <v>-10.0597678134324</v>
      </c>
      <c r="D15">
        <v>24.326189560365702</v>
      </c>
      <c r="E15">
        <f t="shared" si="0"/>
        <v>612958.56557247764</v>
      </c>
    </row>
    <row r="16" spans="1:5" x14ac:dyDescent="0.4">
      <c r="A16" t="s">
        <v>7</v>
      </c>
      <c r="B16" t="s">
        <v>11</v>
      </c>
      <c r="C16">
        <v>-9.7454884776175597</v>
      </c>
      <c r="D16">
        <v>30.762703621841698</v>
      </c>
      <c r="E16">
        <f t="shared" si="0"/>
        <v>612966.10827653727</v>
      </c>
    </row>
    <row r="17" spans="1:5" x14ac:dyDescent="0.4">
      <c r="A17" t="s">
        <v>7</v>
      </c>
      <c r="B17" t="s">
        <v>11</v>
      </c>
      <c r="C17">
        <v>-9.3437857897606307</v>
      </c>
      <c r="D17">
        <v>35.987651961832597</v>
      </c>
      <c r="E17">
        <f t="shared" si="0"/>
        <v>612975.74914104573</v>
      </c>
    </row>
    <row r="18" spans="1:5" x14ac:dyDescent="0.4">
      <c r="A18" t="s">
        <v>7</v>
      </c>
      <c r="B18" t="s">
        <v>11</v>
      </c>
      <c r="C18">
        <v>-8.7058987192352006</v>
      </c>
      <c r="D18">
        <v>47.4598498909574</v>
      </c>
      <c r="E18">
        <f t="shared" si="0"/>
        <v>612991.0584307384</v>
      </c>
    </row>
    <row r="19" spans="1:5" x14ac:dyDescent="0.4">
      <c r="A19" t="s">
        <v>7</v>
      </c>
      <c r="B19" t="s">
        <v>11</v>
      </c>
      <c r="C19">
        <v>-7.6889983725766404</v>
      </c>
      <c r="D19">
        <v>58.640574894665598</v>
      </c>
      <c r="E19">
        <f t="shared" si="0"/>
        <v>613015.46403905808</v>
      </c>
    </row>
    <row r="20" spans="1:5" x14ac:dyDescent="0.4">
      <c r="A20" t="s">
        <v>7</v>
      </c>
      <c r="B20" t="s">
        <v>11</v>
      </c>
      <c r="C20">
        <v>-4.9912225519348503</v>
      </c>
      <c r="D20">
        <v>73.407837643728499</v>
      </c>
      <c r="E20">
        <f t="shared" si="0"/>
        <v>613080.21065875364</v>
      </c>
    </row>
    <row r="21" spans="1:5" x14ac:dyDescent="0.4">
      <c r="A21" t="s">
        <v>7</v>
      </c>
      <c r="B21" t="s">
        <v>11</v>
      </c>
      <c r="C21">
        <v>-9.6703409926703898E-3</v>
      </c>
      <c r="D21">
        <v>77.190927048465895</v>
      </c>
      <c r="E21">
        <f t="shared" si="0"/>
        <v>613199.76791181625</v>
      </c>
    </row>
    <row r="22" spans="1:5" x14ac:dyDescent="0.4">
      <c r="A22" t="s">
        <v>7</v>
      </c>
      <c r="B22" t="s">
        <v>11</v>
      </c>
      <c r="C22">
        <v>1.1702218604589301</v>
      </c>
      <c r="D22">
        <v>75.689739151732596</v>
      </c>
      <c r="E22">
        <f t="shared" si="0"/>
        <v>613228.08532465098</v>
      </c>
    </row>
    <row r="23" spans="1:5" x14ac:dyDescent="0.4">
      <c r="A23" t="s">
        <v>7</v>
      </c>
      <c r="B23" t="s">
        <v>11</v>
      </c>
      <c r="C23">
        <v>4.4592900989779398</v>
      </c>
      <c r="D23">
        <v>70.121688090840095</v>
      </c>
      <c r="E23">
        <f t="shared" si="0"/>
        <v>613307.02296237543</v>
      </c>
    </row>
    <row r="24" spans="1:5" x14ac:dyDescent="0.4">
      <c r="A24" t="s">
        <v>7</v>
      </c>
      <c r="B24" t="s">
        <v>11</v>
      </c>
      <c r="C24">
        <v>5.8240348140830704</v>
      </c>
      <c r="D24">
        <v>67.581808172626296</v>
      </c>
      <c r="E24">
        <f t="shared" si="0"/>
        <v>613339.77683553798</v>
      </c>
    </row>
    <row r="25" spans="1:5" x14ac:dyDescent="0.4">
      <c r="A25" t="s">
        <v>7</v>
      </c>
      <c r="B25" t="s">
        <v>11</v>
      </c>
      <c r="C25">
        <v>7.1886495287390604</v>
      </c>
      <c r="D25">
        <v>65.051115761857204</v>
      </c>
      <c r="E25">
        <f t="shared" si="0"/>
        <v>613372.5275886897</v>
      </c>
    </row>
    <row r="26" spans="1:5" x14ac:dyDescent="0.4">
      <c r="A26" t="s">
        <v>7</v>
      </c>
      <c r="B26" t="s">
        <v>11</v>
      </c>
      <c r="C26">
        <v>8.5530692427213406</v>
      </c>
      <c r="D26">
        <v>62.495815557428003</v>
      </c>
      <c r="E26">
        <f t="shared" si="0"/>
        <v>613405.27366182534</v>
      </c>
    </row>
    <row r="27" spans="1:5" x14ac:dyDescent="0.4">
      <c r="A27" t="s">
        <v>7</v>
      </c>
      <c r="B27" t="s">
        <v>11</v>
      </c>
      <c r="C27">
        <v>9.9174889567036004</v>
      </c>
      <c r="D27">
        <v>60.040891173740498</v>
      </c>
      <c r="E27">
        <f t="shared" si="0"/>
        <v>613438.01973496086</v>
      </c>
    </row>
    <row r="28" spans="1:5" x14ac:dyDescent="0.4">
      <c r="A28" t="s">
        <v>7</v>
      </c>
      <c r="B28" t="s">
        <v>11</v>
      </c>
      <c r="C28">
        <v>11.281778670236699</v>
      </c>
      <c r="D28">
        <v>57.609063815583397</v>
      </c>
      <c r="E28">
        <f t="shared" si="0"/>
        <v>613470.76268808579</v>
      </c>
    </row>
    <row r="29" spans="1:5" x14ac:dyDescent="0.4">
      <c r="A29" t="s">
        <v>7</v>
      </c>
      <c r="B29" t="s">
        <v>11</v>
      </c>
      <c r="C29">
        <v>12.6465883855664</v>
      </c>
      <c r="D29">
        <v>55.557732618154297</v>
      </c>
      <c r="E29">
        <f t="shared" si="0"/>
        <v>613503.51812125358</v>
      </c>
    </row>
    <row r="30" spans="1:5" x14ac:dyDescent="0.4">
      <c r="A30" t="s">
        <v>7</v>
      </c>
      <c r="B30" t="s">
        <v>11</v>
      </c>
      <c r="C30">
        <v>14.010618098201199</v>
      </c>
      <c r="D30">
        <v>53.172024655734603</v>
      </c>
      <c r="E30">
        <f t="shared" si="0"/>
        <v>613536.25483435683</v>
      </c>
    </row>
    <row r="31" spans="1:5" x14ac:dyDescent="0.4">
      <c r="A31" t="s">
        <v>7</v>
      </c>
      <c r="B31" t="s">
        <v>11</v>
      </c>
      <c r="C31">
        <v>15.374387809937801</v>
      </c>
      <c r="D31">
        <v>50.759446505642501</v>
      </c>
      <c r="E31">
        <f t="shared" si="0"/>
        <v>613568.98530743853</v>
      </c>
    </row>
    <row r="32" spans="1:5" x14ac:dyDescent="0.4">
      <c r="A32" t="s">
        <v>7</v>
      </c>
      <c r="B32" t="s">
        <v>11</v>
      </c>
      <c r="C32">
        <v>16.738612523246399</v>
      </c>
      <c r="D32">
        <v>48.672574080498499</v>
      </c>
      <c r="E32">
        <f t="shared" si="0"/>
        <v>613601.72670055798</v>
      </c>
    </row>
    <row r="33" spans="1:5" x14ac:dyDescent="0.4">
      <c r="A33" t="s">
        <v>7</v>
      </c>
      <c r="B33" t="s">
        <v>11</v>
      </c>
      <c r="C33">
        <v>18.1027072361058</v>
      </c>
      <c r="D33">
        <v>46.612162292356402</v>
      </c>
      <c r="E33">
        <f t="shared" si="0"/>
        <v>613634.46497366659</v>
      </c>
    </row>
    <row r="34" spans="1:5" x14ac:dyDescent="0.4">
      <c r="A34" t="s">
        <v>7</v>
      </c>
      <c r="B34" t="s">
        <v>11</v>
      </c>
      <c r="C34">
        <v>19.466931949414299</v>
      </c>
      <c r="D34">
        <v>44.695797105958199</v>
      </c>
      <c r="E34">
        <f t="shared" si="0"/>
        <v>613667.20636678592</v>
      </c>
    </row>
    <row r="35" spans="1:5" x14ac:dyDescent="0.4">
      <c r="A35" t="s">
        <v>7</v>
      </c>
      <c r="B35" t="s">
        <v>11</v>
      </c>
      <c r="C35">
        <v>20.8308966618246</v>
      </c>
      <c r="D35">
        <v>42.7493110580672</v>
      </c>
      <c r="E35">
        <f t="shared" si="0"/>
        <v>613699.94151988381</v>
      </c>
    </row>
    <row r="36" spans="1:5" x14ac:dyDescent="0.4">
      <c r="A36" t="s">
        <v>7</v>
      </c>
      <c r="B36" t="s">
        <v>11</v>
      </c>
      <c r="C36">
        <v>22.195121375133201</v>
      </c>
      <c r="D36">
        <v>40.991759221266399</v>
      </c>
      <c r="E36">
        <f t="shared" si="0"/>
        <v>613732.68291300326</v>
      </c>
    </row>
    <row r="37" spans="1:5" x14ac:dyDescent="0.4">
      <c r="A37" t="s">
        <v>7</v>
      </c>
      <c r="B37" t="s">
        <v>11</v>
      </c>
      <c r="C37">
        <v>23.5593460884417</v>
      </c>
      <c r="D37">
        <v>39.306465588927601</v>
      </c>
      <c r="E37">
        <f t="shared" si="0"/>
        <v>613765.42430612259</v>
      </c>
    </row>
    <row r="38" spans="1:5" x14ac:dyDescent="0.4">
      <c r="A38" t="s">
        <v>7</v>
      </c>
      <c r="B38" t="s">
        <v>11</v>
      </c>
      <c r="C38">
        <v>24.9235058015257</v>
      </c>
      <c r="D38">
        <v>37.666492459439297</v>
      </c>
      <c r="E38">
        <f t="shared" si="0"/>
        <v>613798.16413923667</v>
      </c>
    </row>
    <row r="39" spans="1:5" x14ac:dyDescent="0.4">
      <c r="A39" t="s">
        <v>7</v>
      </c>
      <c r="B39" t="s">
        <v>11</v>
      </c>
      <c r="C39">
        <v>26.287665514609699</v>
      </c>
      <c r="D39">
        <v>36.094943489313799</v>
      </c>
      <c r="E39">
        <f t="shared" si="0"/>
        <v>613830.90397235064</v>
      </c>
    </row>
    <row r="40" spans="1:5" x14ac:dyDescent="0.4">
      <c r="A40" t="s">
        <v>7</v>
      </c>
      <c r="B40" t="s">
        <v>11</v>
      </c>
      <c r="C40">
        <v>27.651760227469101</v>
      </c>
      <c r="D40">
        <v>34.566969091767</v>
      </c>
      <c r="E40">
        <f t="shared" si="0"/>
        <v>613863.64224545925</v>
      </c>
    </row>
    <row r="41" spans="1:5" x14ac:dyDescent="0.4">
      <c r="A41" t="s">
        <v>7</v>
      </c>
      <c r="B41" t="s">
        <v>11</v>
      </c>
      <c r="C41">
        <v>29.015919940553101</v>
      </c>
      <c r="D41">
        <v>33.124740704427097</v>
      </c>
      <c r="E41">
        <f t="shared" si="0"/>
        <v>613896.38207857334</v>
      </c>
    </row>
    <row r="42" spans="1:5" x14ac:dyDescent="0.4">
      <c r="A42" t="s">
        <v>7</v>
      </c>
      <c r="B42" t="s">
        <v>11</v>
      </c>
      <c r="C42">
        <v>30.3800796536371</v>
      </c>
      <c r="D42">
        <v>31.7426860255697</v>
      </c>
      <c r="E42">
        <f t="shared" si="0"/>
        <v>613929.12191168731</v>
      </c>
    </row>
    <row r="43" spans="1:5" x14ac:dyDescent="0.4">
      <c r="A43" t="s">
        <v>7</v>
      </c>
      <c r="B43" t="s">
        <v>11</v>
      </c>
      <c r="C43">
        <v>31.744174366496502</v>
      </c>
      <c r="D43">
        <v>30.3989517828274</v>
      </c>
      <c r="E43">
        <f t="shared" si="0"/>
        <v>613961.86018479592</v>
      </c>
    </row>
    <row r="44" spans="1:5" x14ac:dyDescent="0.4">
      <c r="A44" t="s">
        <v>7</v>
      </c>
      <c r="B44" t="s">
        <v>11</v>
      </c>
      <c r="C44">
        <v>33.1082690793559</v>
      </c>
      <c r="D44">
        <v>29.112100619030102</v>
      </c>
      <c r="E44">
        <f t="shared" si="0"/>
        <v>613994.59845790465</v>
      </c>
    </row>
    <row r="45" spans="1:5" x14ac:dyDescent="0.4">
      <c r="A45" t="s">
        <v>7</v>
      </c>
      <c r="B45" t="s">
        <v>11</v>
      </c>
      <c r="C45">
        <v>34.472363792215297</v>
      </c>
      <c r="D45">
        <v>27.8797245545585</v>
      </c>
      <c r="E45">
        <f t="shared" si="0"/>
        <v>614027.33673101326</v>
      </c>
    </row>
    <row r="46" spans="1:5" x14ac:dyDescent="0.4">
      <c r="A46" t="s">
        <v>7</v>
      </c>
      <c r="B46" t="s">
        <v>11</v>
      </c>
      <c r="C46">
        <v>35.836588505523899</v>
      </c>
      <c r="D46">
        <v>26.733505822897399</v>
      </c>
      <c r="E46">
        <f t="shared" si="0"/>
        <v>614060.07812413259</v>
      </c>
    </row>
    <row r="47" spans="1:5" x14ac:dyDescent="0.4">
      <c r="A47" t="s">
        <v>7</v>
      </c>
      <c r="B47" t="s">
        <v>11</v>
      </c>
      <c r="C47">
        <v>37.201138219955297</v>
      </c>
      <c r="D47">
        <v>25.716070488345299</v>
      </c>
      <c r="E47">
        <f t="shared" si="0"/>
        <v>614092.82731727895</v>
      </c>
    </row>
    <row r="48" spans="1:5" x14ac:dyDescent="0.4">
      <c r="A48" t="s">
        <v>7</v>
      </c>
      <c r="B48" t="s">
        <v>11</v>
      </c>
      <c r="C48">
        <v>38.938074220957397</v>
      </c>
      <c r="D48">
        <v>24.533642745996801</v>
      </c>
      <c r="E48">
        <f t="shared" si="0"/>
        <v>614134.51378130296</v>
      </c>
    </row>
    <row r="49" spans="1:5" x14ac:dyDescent="0.4">
      <c r="A49" t="s">
        <v>7</v>
      </c>
      <c r="B49" t="s">
        <v>11</v>
      </c>
      <c r="C49">
        <v>40.301063929999103</v>
      </c>
      <c r="D49">
        <v>23.242385799489199</v>
      </c>
      <c r="E49">
        <f t="shared" si="0"/>
        <v>614167.22553431988</v>
      </c>
    </row>
    <row r="50" spans="1:5" x14ac:dyDescent="0.4">
      <c r="A50" t="s">
        <v>7</v>
      </c>
      <c r="B50" t="s">
        <v>11</v>
      </c>
      <c r="C50">
        <v>41.665223643083003</v>
      </c>
      <c r="D50">
        <v>22.272649965822701</v>
      </c>
      <c r="E50">
        <f t="shared" si="0"/>
        <v>614199.96536743396</v>
      </c>
    </row>
    <row r="51" spans="1:5" x14ac:dyDescent="0.4">
      <c r="A51" t="s">
        <v>7</v>
      </c>
      <c r="B51" t="s">
        <v>11</v>
      </c>
      <c r="C51">
        <v>43.0293183559425</v>
      </c>
      <c r="D51">
        <v>21.329802142182999</v>
      </c>
      <c r="E51">
        <f t="shared" si="0"/>
        <v>614232.70364054269</v>
      </c>
    </row>
    <row r="52" spans="1:5" x14ac:dyDescent="0.4">
      <c r="A52" t="s">
        <v>7</v>
      </c>
      <c r="B52" t="s">
        <v>11</v>
      </c>
      <c r="C52">
        <v>44.3934780690265</v>
      </c>
      <c r="D52">
        <v>20.439864523870799</v>
      </c>
      <c r="E52">
        <f t="shared" si="0"/>
        <v>614265.44347365655</v>
      </c>
    </row>
    <row r="53" spans="1:5" x14ac:dyDescent="0.4">
      <c r="A53" t="s">
        <v>7</v>
      </c>
      <c r="B53" t="s">
        <v>11</v>
      </c>
      <c r="C53">
        <v>45.757702782335002</v>
      </c>
      <c r="D53">
        <v>19.599520655191998</v>
      </c>
      <c r="E53">
        <f t="shared" si="0"/>
        <v>614298.18486677611</v>
      </c>
    </row>
    <row r="54" spans="1:5" x14ac:dyDescent="0.4">
      <c r="A54" t="s">
        <v>7</v>
      </c>
      <c r="B54" t="s">
        <v>11</v>
      </c>
      <c r="C54">
        <v>47.121732494969898</v>
      </c>
      <c r="D54">
        <v>18.7578964512658</v>
      </c>
      <c r="E54">
        <f t="shared" si="0"/>
        <v>614330.92157987936</v>
      </c>
    </row>
    <row r="55" spans="1:5" x14ac:dyDescent="0.4">
      <c r="A55" t="s">
        <v>7</v>
      </c>
      <c r="B55" t="s">
        <v>11</v>
      </c>
      <c r="C55">
        <v>48.485827207829303</v>
      </c>
      <c r="D55">
        <v>17.963835489850101</v>
      </c>
      <c r="E55">
        <f t="shared" si="0"/>
        <v>614363.65985298797</v>
      </c>
    </row>
    <row r="56" spans="1:5" x14ac:dyDescent="0.4">
      <c r="A56" t="s">
        <v>7</v>
      </c>
      <c r="B56" t="s">
        <v>11</v>
      </c>
      <c r="C56">
        <v>49.849921920688701</v>
      </c>
      <c r="D56">
        <v>17.203388788545201</v>
      </c>
      <c r="E56">
        <f t="shared" si="0"/>
        <v>614396.39812609658</v>
      </c>
    </row>
    <row r="57" spans="1:5" x14ac:dyDescent="0.4">
      <c r="A57" t="s">
        <v>7</v>
      </c>
      <c r="B57" t="s">
        <v>11</v>
      </c>
      <c r="C57">
        <v>51.2140816337727</v>
      </c>
      <c r="D57">
        <v>16.4856164086927</v>
      </c>
      <c r="E57">
        <f t="shared" si="0"/>
        <v>614429.13795921055</v>
      </c>
    </row>
    <row r="58" spans="1:5" x14ac:dyDescent="0.4">
      <c r="A58" t="s">
        <v>7</v>
      </c>
      <c r="B58" t="s">
        <v>11</v>
      </c>
      <c r="C58">
        <v>52.5782413468567</v>
      </c>
      <c r="D58">
        <v>15.797791453479199</v>
      </c>
      <c r="E58">
        <f t="shared" si="0"/>
        <v>614461.87779232464</v>
      </c>
    </row>
    <row r="59" spans="1:5" x14ac:dyDescent="0.4">
      <c r="A59" t="s">
        <v>7</v>
      </c>
      <c r="B59" t="s">
        <v>11</v>
      </c>
      <c r="C59">
        <v>53.942336059716098</v>
      </c>
      <c r="D59">
        <v>15.1290379233387</v>
      </c>
      <c r="E59">
        <f t="shared" si="0"/>
        <v>614494.61606543313</v>
      </c>
    </row>
    <row r="60" spans="1:5" x14ac:dyDescent="0.4">
      <c r="A60" t="s">
        <v>7</v>
      </c>
      <c r="B60" t="s">
        <v>11</v>
      </c>
      <c r="C60">
        <v>55.3065607730247</v>
      </c>
      <c r="D60">
        <v>14.5070379955486</v>
      </c>
      <c r="E60">
        <f t="shared" si="0"/>
        <v>614527.35745855269</v>
      </c>
    </row>
    <row r="61" spans="1:5" x14ac:dyDescent="0.4">
      <c r="A61" t="s">
        <v>7</v>
      </c>
      <c r="B61" t="s">
        <v>11</v>
      </c>
      <c r="C61">
        <v>56.670655485884097</v>
      </c>
      <c r="D61">
        <v>13.892924757000401</v>
      </c>
      <c r="E61">
        <f t="shared" si="0"/>
        <v>614560.09573166131</v>
      </c>
    </row>
    <row r="62" spans="1:5" x14ac:dyDescent="0.4">
      <c r="A62" t="s">
        <v>7</v>
      </c>
      <c r="B62" t="s">
        <v>11</v>
      </c>
      <c r="C62">
        <v>58.034815198967998</v>
      </c>
      <c r="D62">
        <v>13.3132739807194</v>
      </c>
      <c r="E62">
        <f t="shared" si="0"/>
        <v>614592.83556477528</v>
      </c>
    </row>
    <row r="63" spans="1:5" x14ac:dyDescent="0.4">
      <c r="A63" t="s">
        <v>7</v>
      </c>
      <c r="B63" t="s">
        <v>11</v>
      </c>
      <c r="C63">
        <v>59.398974912051997</v>
      </c>
      <c r="D63">
        <v>12.7578078184287</v>
      </c>
      <c r="E63">
        <f t="shared" si="0"/>
        <v>614625.57539788936</v>
      </c>
    </row>
    <row r="64" spans="1:5" x14ac:dyDescent="0.4">
      <c r="A64" t="s">
        <v>7</v>
      </c>
      <c r="B64" t="s">
        <v>11</v>
      </c>
      <c r="C64">
        <v>60.515465198025503</v>
      </c>
      <c r="D64">
        <v>12.3640522045495</v>
      </c>
      <c r="E64">
        <f t="shared" si="0"/>
        <v>614652.37116475264</v>
      </c>
    </row>
    <row r="65" spans="1:5" x14ac:dyDescent="0.4">
      <c r="A65" t="s">
        <v>7</v>
      </c>
      <c r="B65" t="s">
        <v>11</v>
      </c>
      <c r="C65">
        <v>62.002935908569597</v>
      </c>
      <c r="D65">
        <v>11.721398429940701</v>
      </c>
      <c r="E65">
        <f t="shared" si="0"/>
        <v>614688.07046180568</v>
      </c>
    </row>
    <row r="66" spans="1:5" x14ac:dyDescent="0.4">
      <c r="A66" t="s">
        <v>7</v>
      </c>
      <c r="B66" t="s">
        <v>11</v>
      </c>
      <c r="C66">
        <v>63.863320336078097</v>
      </c>
      <c r="D66">
        <v>11.077667967546599</v>
      </c>
      <c r="E66">
        <f t="shared" si="0"/>
        <v>614732.71968806582</v>
      </c>
    </row>
    <row r="67" spans="1:5" x14ac:dyDescent="0.4">
      <c r="A67" t="s">
        <v>7</v>
      </c>
      <c r="B67" t="s">
        <v>11</v>
      </c>
      <c r="C67">
        <v>65.227480049162097</v>
      </c>
      <c r="D67">
        <v>10.6154773957927</v>
      </c>
      <c r="E67">
        <f t="shared" ref="E67:E126" si="1">(C67/365+70)*24*365</f>
        <v>614765.4595211799</v>
      </c>
    </row>
    <row r="68" spans="1:5" x14ac:dyDescent="0.4">
      <c r="A68" t="s">
        <v>7</v>
      </c>
      <c r="B68" t="s">
        <v>11</v>
      </c>
      <c r="C68">
        <v>66.591574762021494</v>
      </c>
      <c r="D68">
        <v>10.166102050924501</v>
      </c>
      <c r="E68">
        <f t="shared" si="1"/>
        <v>614798.19779428851</v>
      </c>
    </row>
    <row r="69" spans="1:5" x14ac:dyDescent="0.4">
      <c r="A69" t="s">
        <v>7</v>
      </c>
      <c r="B69" t="s">
        <v>11</v>
      </c>
      <c r="C69">
        <v>67.955734475105501</v>
      </c>
      <c r="D69">
        <v>9.7419444996069</v>
      </c>
      <c r="E69">
        <f t="shared" si="1"/>
        <v>614830.93762740248</v>
      </c>
    </row>
    <row r="70" spans="1:5" x14ac:dyDescent="0.4">
      <c r="A70" t="s">
        <v>7</v>
      </c>
      <c r="B70" t="s">
        <v>11</v>
      </c>
      <c r="C70">
        <v>69.319959188414003</v>
      </c>
      <c r="D70">
        <v>9.3414240695574193</v>
      </c>
      <c r="E70">
        <f t="shared" si="1"/>
        <v>614863.67902052193</v>
      </c>
    </row>
    <row r="71" spans="1:5" x14ac:dyDescent="0.4">
      <c r="A71" t="s">
        <v>7</v>
      </c>
      <c r="B71" t="s">
        <v>11</v>
      </c>
      <c r="C71">
        <v>70.684053901273401</v>
      </c>
      <c r="D71">
        <v>8.9459820648029993</v>
      </c>
      <c r="E71">
        <f t="shared" si="1"/>
        <v>614896.41729363054</v>
      </c>
    </row>
    <row r="72" spans="1:5" x14ac:dyDescent="0.4">
      <c r="A72" t="s">
        <v>7</v>
      </c>
      <c r="B72" t="s">
        <v>11</v>
      </c>
      <c r="C72">
        <v>72.048148614132799</v>
      </c>
      <c r="D72">
        <v>8.5672799465969192</v>
      </c>
      <c r="E72">
        <f t="shared" si="1"/>
        <v>614929.15556673915</v>
      </c>
    </row>
    <row r="73" spans="1:5" x14ac:dyDescent="0.4">
      <c r="A73" t="s">
        <v>7</v>
      </c>
      <c r="B73" t="s">
        <v>11</v>
      </c>
      <c r="C73">
        <v>73.412373327441401</v>
      </c>
      <c r="D73">
        <v>8.2150534841382594</v>
      </c>
      <c r="E73">
        <f t="shared" si="1"/>
        <v>614961.8969598586</v>
      </c>
    </row>
    <row r="74" spans="1:5" x14ac:dyDescent="0.4">
      <c r="A74" t="s">
        <v>7</v>
      </c>
      <c r="B74" t="s">
        <v>11</v>
      </c>
      <c r="C74">
        <v>74.776468040300799</v>
      </c>
      <c r="D74">
        <v>7.8672931004169797</v>
      </c>
      <c r="E74">
        <f t="shared" si="1"/>
        <v>614994.63523296721</v>
      </c>
    </row>
    <row r="75" spans="1:5" x14ac:dyDescent="0.4">
      <c r="A75" t="s">
        <v>7</v>
      </c>
      <c r="B75" t="s">
        <v>11</v>
      </c>
      <c r="C75">
        <v>76.140497752935701</v>
      </c>
      <c r="D75">
        <v>7.5294631907380998</v>
      </c>
      <c r="E75">
        <f t="shared" si="1"/>
        <v>615027.37194607046</v>
      </c>
    </row>
    <row r="76" spans="1:5" x14ac:dyDescent="0.4">
      <c r="A76" t="s">
        <v>7</v>
      </c>
      <c r="B76" t="s">
        <v>11</v>
      </c>
      <c r="C76">
        <v>77.504722466244203</v>
      </c>
      <c r="D76">
        <v>7.2199044742705896</v>
      </c>
      <c r="E76">
        <f t="shared" si="1"/>
        <v>615060.11333918991</v>
      </c>
    </row>
    <row r="77" spans="1:5" x14ac:dyDescent="0.4">
      <c r="A77" t="s">
        <v>7</v>
      </c>
      <c r="B77" t="s">
        <v>11</v>
      </c>
      <c r="C77">
        <v>78.868882179328196</v>
      </c>
      <c r="D77">
        <v>6.9186703348517797</v>
      </c>
      <c r="E77">
        <f t="shared" si="1"/>
        <v>615092.85317230388</v>
      </c>
    </row>
    <row r="78" spans="1:5" x14ac:dyDescent="0.4">
      <c r="A78" t="s">
        <v>7</v>
      </c>
      <c r="B78" t="s">
        <v>11</v>
      </c>
      <c r="C78">
        <v>80.232846891738504</v>
      </c>
      <c r="D78">
        <v>6.6173647054920304</v>
      </c>
      <c r="E78">
        <f t="shared" si="1"/>
        <v>615125.58832540165</v>
      </c>
    </row>
    <row r="79" spans="1:5" x14ac:dyDescent="0.4">
      <c r="A79" t="s">
        <v>7</v>
      </c>
      <c r="B79" t="s">
        <v>11</v>
      </c>
      <c r="C79">
        <v>81.597136605271601</v>
      </c>
      <c r="D79">
        <v>6.3493425589993597</v>
      </c>
      <c r="E79">
        <f t="shared" si="1"/>
        <v>615158.33127852657</v>
      </c>
    </row>
    <row r="80" spans="1:5" x14ac:dyDescent="0.4">
      <c r="A80" t="s">
        <v>7</v>
      </c>
      <c r="B80" t="s">
        <v>11</v>
      </c>
      <c r="C80">
        <v>82.961361318580202</v>
      </c>
      <c r="D80">
        <v>6.08830212581229</v>
      </c>
      <c r="E80">
        <f t="shared" si="1"/>
        <v>615191.0726716459</v>
      </c>
    </row>
    <row r="81" spans="1:5" x14ac:dyDescent="0.4">
      <c r="A81" t="s">
        <v>7</v>
      </c>
      <c r="B81" t="s">
        <v>11</v>
      </c>
      <c r="C81">
        <v>84.325261030765901</v>
      </c>
      <c r="D81">
        <v>5.8194558532916902</v>
      </c>
      <c r="E81">
        <f t="shared" si="1"/>
        <v>615223.80626473832</v>
      </c>
    </row>
    <row r="82" spans="1:5" x14ac:dyDescent="0.4">
      <c r="A82" t="s">
        <v>7</v>
      </c>
      <c r="B82" t="s">
        <v>11</v>
      </c>
      <c r="C82">
        <v>85.3780588347812</v>
      </c>
      <c r="D82">
        <v>5.5583548290527602</v>
      </c>
      <c r="E82">
        <f t="shared" si="1"/>
        <v>615249.07341203466</v>
      </c>
    </row>
    <row r="83" spans="1:5" x14ac:dyDescent="0.4">
      <c r="A83" t="s">
        <v>7</v>
      </c>
      <c r="B83" t="s">
        <v>12</v>
      </c>
      <c r="C83">
        <v>-11.1356856556593</v>
      </c>
      <c r="D83">
        <v>6.3246532699768201</v>
      </c>
      <c r="E83">
        <f t="shared" si="1"/>
        <v>612932.74354426411</v>
      </c>
    </row>
    <row r="84" spans="1:5" x14ac:dyDescent="0.4">
      <c r="A84" t="s">
        <v>7</v>
      </c>
      <c r="B84" t="s">
        <v>12</v>
      </c>
      <c r="C84">
        <v>-11.091534253119001</v>
      </c>
      <c r="D84">
        <v>3.9095064801850801</v>
      </c>
      <c r="E84">
        <f t="shared" si="1"/>
        <v>612933.80317792506</v>
      </c>
    </row>
    <row r="85" spans="1:5" x14ac:dyDescent="0.4">
      <c r="A85" t="s">
        <v>7</v>
      </c>
      <c r="B85" t="s">
        <v>12</v>
      </c>
      <c r="C85">
        <v>-10.6944113830692</v>
      </c>
      <c r="D85">
        <v>14.332186162645799</v>
      </c>
      <c r="E85">
        <f t="shared" si="1"/>
        <v>612943.33412680635</v>
      </c>
    </row>
    <row r="86" spans="1:5" x14ac:dyDescent="0.4">
      <c r="A86" t="s">
        <v>7</v>
      </c>
      <c r="B86" t="s">
        <v>12</v>
      </c>
      <c r="C86">
        <v>-10.856541030518301</v>
      </c>
      <c r="D86">
        <v>10.8086938946464</v>
      </c>
      <c r="E86">
        <f t="shared" si="1"/>
        <v>612939.44301526749</v>
      </c>
    </row>
    <row r="87" spans="1:5" x14ac:dyDescent="0.4">
      <c r="A87" t="s">
        <v>7</v>
      </c>
      <c r="B87" t="s">
        <v>12</v>
      </c>
      <c r="C87">
        <v>-10.129636873452901</v>
      </c>
      <c r="D87">
        <v>40.991247959697297</v>
      </c>
      <c r="E87">
        <f t="shared" si="1"/>
        <v>612956.88871503703</v>
      </c>
    </row>
    <row r="88" spans="1:5" x14ac:dyDescent="0.4">
      <c r="A88" t="s">
        <v>7</v>
      </c>
      <c r="B88" t="s">
        <v>12</v>
      </c>
      <c r="C88">
        <v>-10.4291023394594</v>
      </c>
      <c r="D88">
        <v>24.266688786055401</v>
      </c>
      <c r="E88">
        <f t="shared" si="1"/>
        <v>612949.70154385292</v>
      </c>
    </row>
    <row r="89" spans="1:5" x14ac:dyDescent="0.4">
      <c r="A89" t="s">
        <v>7</v>
      </c>
      <c r="B89" t="s">
        <v>12</v>
      </c>
      <c r="C89">
        <v>-10.1919189961967</v>
      </c>
      <c r="D89">
        <v>6.4092431661361404</v>
      </c>
      <c r="E89">
        <f t="shared" si="1"/>
        <v>612955.39394409128</v>
      </c>
    </row>
    <row r="90" spans="1:5" x14ac:dyDescent="0.4">
      <c r="A90" t="s">
        <v>7</v>
      </c>
      <c r="B90" t="s">
        <v>12</v>
      </c>
      <c r="C90">
        <v>-10.243575541333399</v>
      </c>
      <c r="D90">
        <v>3.86604079240584</v>
      </c>
      <c r="E90">
        <f t="shared" si="1"/>
        <v>612954.15418700804</v>
      </c>
    </row>
    <row r="91" spans="1:5" x14ac:dyDescent="0.4">
      <c r="A91" t="s">
        <v>7</v>
      </c>
      <c r="B91" t="s">
        <v>12</v>
      </c>
      <c r="C91">
        <v>-9.8204981951046406</v>
      </c>
      <c r="D91">
        <v>14.764991525875001</v>
      </c>
      <c r="E91">
        <f t="shared" si="1"/>
        <v>612964.30804331752</v>
      </c>
    </row>
    <row r="92" spans="1:5" x14ac:dyDescent="0.4">
      <c r="A92" t="s">
        <v>7</v>
      </c>
      <c r="B92" t="s">
        <v>12</v>
      </c>
      <c r="C92">
        <v>-9.8432293153058605</v>
      </c>
      <c r="D92">
        <v>11.8202303807153</v>
      </c>
      <c r="E92">
        <f t="shared" si="1"/>
        <v>612963.76249643276</v>
      </c>
    </row>
    <row r="93" spans="1:5" x14ac:dyDescent="0.4">
      <c r="A93" t="s">
        <v>7</v>
      </c>
      <c r="B93" t="s">
        <v>12</v>
      </c>
      <c r="C93">
        <v>-9.9797947871307695</v>
      </c>
      <c r="D93">
        <v>10.4946271259442</v>
      </c>
      <c r="E93">
        <f t="shared" si="1"/>
        <v>612960.48492510885</v>
      </c>
    </row>
    <row r="94" spans="1:5" x14ac:dyDescent="0.4">
      <c r="A94" t="s">
        <v>7</v>
      </c>
      <c r="B94" t="s">
        <v>12</v>
      </c>
      <c r="C94">
        <v>-8.9468630636562594</v>
      </c>
      <c r="D94">
        <v>46.983903746836098</v>
      </c>
      <c r="E94">
        <f t="shared" si="1"/>
        <v>612985.27528647229</v>
      </c>
    </row>
    <row r="95" spans="1:5" x14ac:dyDescent="0.4">
      <c r="A95" t="s">
        <v>7</v>
      </c>
      <c r="B95" t="s">
        <v>12</v>
      </c>
      <c r="C95">
        <v>-9.2061825429217006</v>
      </c>
      <c r="D95">
        <v>25.160846795437301</v>
      </c>
      <c r="E95">
        <f t="shared" si="1"/>
        <v>612979.05161896988</v>
      </c>
    </row>
    <row r="96" spans="1:5" x14ac:dyDescent="0.4">
      <c r="A96" t="s">
        <v>7</v>
      </c>
      <c r="B96" t="s">
        <v>12</v>
      </c>
      <c r="C96">
        <v>-9.4031452948439007</v>
      </c>
      <c r="D96">
        <v>22.7378840665776</v>
      </c>
      <c r="E96">
        <f t="shared" si="1"/>
        <v>612974.32451292383</v>
      </c>
    </row>
    <row r="97" spans="1:5" x14ac:dyDescent="0.4">
      <c r="A97" t="s">
        <v>7</v>
      </c>
      <c r="B97" t="s">
        <v>12</v>
      </c>
      <c r="C97">
        <v>-8.5308422810931397</v>
      </c>
      <c r="D97">
        <v>42.383784442852701</v>
      </c>
      <c r="E97">
        <f t="shared" si="1"/>
        <v>612995.25978525367</v>
      </c>
    </row>
    <row r="98" spans="1:5" x14ac:dyDescent="0.4">
      <c r="A98" t="s">
        <v>7</v>
      </c>
      <c r="B98" t="s">
        <v>12</v>
      </c>
      <c r="C98">
        <v>-7.6881573934806298</v>
      </c>
      <c r="D98">
        <v>64.497047225515203</v>
      </c>
      <c r="E98">
        <f t="shared" si="1"/>
        <v>613015.48422255635</v>
      </c>
    </row>
    <row r="99" spans="1:5" x14ac:dyDescent="0.4">
      <c r="A99" t="s">
        <v>7</v>
      </c>
      <c r="B99" t="s">
        <v>12</v>
      </c>
      <c r="C99">
        <v>-7.8973103700589604</v>
      </c>
      <c r="D99">
        <v>47.422966809074403</v>
      </c>
      <c r="E99">
        <f t="shared" si="1"/>
        <v>613010.46455111855</v>
      </c>
    </row>
    <row r="100" spans="1:5" x14ac:dyDescent="0.4">
      <c r="A100" t="s">
        <v>7</v>
      </c>
      <c r="B100" t="s">
        <v>12</v>
      </c>
      <c r="C100">
        <v>-6.6296563204611898</v>
      </c>
      <c r="D100">
        <v>79.521688519963504</v>
      </c>
      <c r="E100">
        <f t="shared" si="1"/>
        <v>613040.88824830891</v>
      </c>
    </row>
    <row r="101" spans="1:5" x14ac:dyDescent="0.4">
      <c r="A101" t="s">
        <v>7</v>
      </c>
      <c r="B101" t="s">
        <v>12</v>
      </c>
      <c r="C101">
        <v>-6.8159088561085701</v>
      </c>
      <c r="D101">
        <v>59.926425953087403</v>
      </c>
      <c r="E101">
        <f t="shared" si="1"/>
        <v>613036.4181874533</v>
      </c>
    </row>
    <row r="102" spans="1:5" x14ac:dyDescent="0.4">
      <c r="A102" t="s">
        <v>7</v>
      </c>
      <c r="B102" t="s">
        <v>12</v>
      </c>
      <c r="C102">
        <v>-5.4518466433614297</v>
      </c>
      <c r="D102">
        <v>94.4060189008419</v>
      </c>
      <c r="E102">
        <f t="shared" si="1"/>
        <v>613069.15568055934</v>
      </c>
    </row>
    <row r="103" spans="1:5" x14ac:dyDescent="0.4">
      <c r="A103" t="s">
        <v>7</v>
      </c>
      <c r="B103" t="s">
        <v>12</v>
      </c>
      <c r="C103">
        <v>-5.8592355508638896</v>
      </c>
      <c r="D103">
        <v>75.491398930065998</v>
      </c>
      <c r="E103">
        <f t="shared" si="1"/>
        <v>613059.37834677927</v>
      </c>
    </row>
    <row r="104" spans="1:5" x14ac:dyDescent="0.4">
      <c r="A104" t="s">
        <v>7</v>
      </c>
      <c r="B104" t="s">
        <v>12</v>
      </c>
      <c r="C104">
        <v>-4.1236862213193497</v>
      </c>
      <c r="D104">
        <v>93.123713987618601</v>
      </c>
      <c r="E104">
        <f t="shared" si="1"/>
        <v>613101.03153068828</v>
      </c>
    </row>
    <row r="105" spans="1:5" x14ac:dyDescent="0.4">
      <c r="A105" t="s">
        <v>7</v>
      </c>
      <c r="B105" t="s">
        <v>12</v>
      </c>
      <c r="C105">
        <v>-3.5010707368895999</v>
      </c>
      <c r="D105">
        <v>71.442348736455997</v>
      </c>
      <c r="E105">
        <f t="shared" si="1"/>
        <v>613115.97430231469</v>
      </c>
    </row>
    <row r="106" spans="1:5" x14ac:dyDescent="0.4">
      <c r="A106" t="s">
        <v>7</v>
      </c>
      <c r="B106" t="s">
        <v>12</v>
      </c>
      <c r="C106">
        <v>-2.6619987268387102</v>
      </c>
      <c r="D106">
        <v>89.908128539177298</v>
      </c>
      <c r="E106">
        <f t="shared" si="1"/>
        <v>613136.11203055596</v>
      </c>
    </row>
    <row r="107" spans="1:5" x14ac:dyDescent="0.4">
      <c r="A107" t="s">
        <v>7</v>
      </c>
      <c r="B107" t="s">
        <v>12</v>
      </c>
      <c r="C107">
        <v>-2.1107516834267801</v>
      </c>
      <c r="D107">
        <v>72.193824965655907</v>
      </c>
      <c r="E107">
        <f t="shared" si="1"/>
        <v>613149.34195959778</v>
      </c>
    </row>
    <row r="108" spans="1:5" x14ac:dyDescent="0.4">
      <c r="A108" t="s">
        <v>7</v>
      </c>
      <c r="B108" t="s">
        <v>12</v>
      </c>
      <c r="C108">
        <v>-1.3795755924456401</v>
      </c>
      <c r="D108">
        <v>87.177799441510501</v>
      </c>
      <c r="E108">
        <f t="shared" si="1"/>
        <v>613166.89018578129</v>
      </c>
    </row>
    <row r="109" spans="1:5" x14ac:dyDescent="0.4">
      <c r="A109" t="s">
        <v>7</v>
      </c>
      <c r="B109" t="s">
        <v>12</v>
      </c>
      <c r="C109">
        <v>-1.13621523313274</v>
      </c>
      <c r="D109">
        <v>72.185406447748406</v>
      </c>
      <c r="E109">
        <f t="shared" si="1"/>
        <v>613172.73083440482</v>
      </c>
    </row>
    <row r="110" spans="1:5" x14ac:dyDescent="0.4">
      <c r="A110" t="s">
        <v>7</v>
      </c>
      <c r="B110" t="s">
        <v>12</v>
      </c>
      <c r="C110">
        <v>2.4355557737728</v>
      </c>
      <c r="D110">
        <v>80.956907781779506</v>
      </c>
      <c r="E110">
        <f t="shared" si="1"/>
        <v>613258.45333857066</v>
      </c>
    </row>
    <row r="111" spans="1:5" x14ac:dyDescent="0.4">
      <c r="A111" t="s">
        <v>7</v>
      </c>
      <c r="B111" t="s">
        <v>12</v>
      </c>
      <c r="C111">
        <v>2.7951868496083399</v>
      </c>
      <c r="D111">
        <v>69.081294195008994</v>
      </c>
      <c r="E111">
        <f t="shared" si="1"/>
        <v>613267.08448439057</v>
      </c>
    </row>
    <row r="112" spans="1:5" x14ac:dyDescent="0.4">
      <c r="A112" t="s">
        <v>7</v>
      </c>
      <c r="B112" t="s">
        <v>12</v>
      </c>
      <c r="C112">
        <v>3.5421233885593302</v>
      </c>
      <c r="D112">
        <v>81.936289732748094</v>
      </c>
      <c r="E112">
        <f t="shared" si="1"/>
        <v>613285.01096132549</v>
      </c>
    </row>
    <row r="113" spans="1:5" x14ac:dyDescent="0.4">
      <c r="A113" t="s">
        <v>7</v>
      </c>
      <c r="B113" t="s">
        <v>12</v>
      </c>
      <c r="C113">
        <v>3.5251718716595999</v>
      </c>
      <c r="D113">
        <v>69.4116466642961</v>
      </c>
      <c r="E113">
        <f t="shared" si="1"/>
        <v>613284.60412491974</v>
      </c>
    </row>
    <row r="114" spans="1:5" x14ac:dyDescent="0.4">
      <c r="A114" t="s">
        <v>7</v>
      </c>
      <c r="B114" t="s">
        <v>12</v>
      </c>
      <c r="C114">
        <v>12.807923155930601</v>
      </c>
      <c r="D114">
        <v>43.381123685644198</v>
      </c>
      <c r="E114">
        <f t="shared" si="1"/>
        <v>613507.39015574241</v>
      </c>
    </row>
    <row r="115" spans="1:5" x14ac:dyDescent="0.4">
      <c r="A115" t="s">
        <v>7</v>
      </c>
      <c r="B115" t="s">
        <v>12</v>
      </c>
      <c r="C115">
        <v>12.8015344764507</v>
      </c>
      <c r="D115">
        <v>49.919814616591403</v>
      </c>
      <c r="E115">
        <f t="shared" si="1"/>
        <v>613507.23682743486</v>
      </c>
    </row>
    <row r="116" spans="1:5" x14ac:dyDescent="0.4">
      <c r="A116" t="s">
        <v>7</v>
      </c>
      <c r="B116" t="s">
        <v>12</v>
      </c>
      <c r="C116">
        <v>13.6670052443743</v>
      </c>
      <c r="D116">
        <v>43.657998169211503</v>
      </c>
      <c r="E116">
        <f t="shared" si="1"/>
        <v>613528.0081258649</v>
      </c>
    </row>
    <row r="117" spans="1:5" x14ac:dyDescent="0.4">
      <c r="A117" t="s">
        <v>7</v>
      </c>
      <c r="B117" t="s">
        <v>12</v>
      </c>
      <c r="C117">
        <v>13.755427216533199</v>
      </c>
      <c r="D117">
        <v>49.958639614983099</v>
      </c>
      <c r="E117">
        <f t="shared" si="1"/>
        <v>613530.13025319669</v>
      </c>
    </row>
    <row r="118" spans="1:5" x14ac:dyDescent="0.4">
      <c r="A118" t="s">
        <v>7</v>
      </c>
      <c r="B118" t="s">
        <v>12</v>
      </c>
      <c r="C118">
        <v>37.830615870950503</v>
      </c>
      <c r="D118">
        <v>20.695288450594902</v>
      </c>
      <c r="E118">
        <f t="shared" si="1"/>
        <v>614107.93478090281</v>
      </c>
    </row>
    <row r="119" spans="1:5" x14ac:dyDescent="0.4">
      <c r="A119" t="s">
        <v>7</v>
      </c>
      <c r="B119" t="s">
        <v>12</v>
      </c>
      <c r="C119">
        <v>38.745836056786899</v>
      </c>
      <c r="D119">
        <v>20.558522361393202</v>
      </c>
      <c r="E119">
        <f t="shared" si="1"/>
        <v>614129.90006536292</v>
      </c>
    </row>
    <row r="120" spans="1:5" x14ac:dyDescent="0.4">
      <c r="A120" t="s">
        <v>7</v>
      </c>
      <c r="B120" t="s">
        <v>12</v>
      </c>
      <c r="C120">
        <v>38.685418348047598</v>
      </c>
      <c r="D120">
        <v>23.6299732809014</v>
      </c>
      <c r="E120">
        <f t="shared" si="1"/>
        <v>614128.45004035323</v>
      </c>
    </row>
    <row r="121" spans="1:5" x14ac:dyDescent="0.4">
      <c r="A121" t="s">
        <v>7</v>
      </c>
      <c r="B121" t="s">
        <v>12</v>
      </c>
      <c r="C121">
        <v>61.675369443515301</v>
      </c>
      <c r="D121">
        <v>10.667372331637401</v>
      </c>
      <c r="E121">
        <f t="shared" si="1"/>
        <v>614680.2088666443</v>
      </c>
    </row>
    <row r="122" spans="1:5" x14ac:dyDescent="0.4">
      <c r="A122" t="s">
        <v>7</v>
      </c>
      <c r="B122" t="s">
        <v>12</v>
      </c>
      <c r="C122">
        <v>61.869799043828401</v>
      </c>
      <c r="D122">
        <v>12.8063976829671</v>
      </c>
      <c r="E122">
        <f t="shared" si="1"/>
        <v>614684.87517705199</v>
      </c>
    </row>
    <row r="123" spans="1:5" x14ac:dyDescent="0.4">
      <c r="A123" t="s">
        <v>7</v>
      </c>
      <c r="B123" t="s">
        <v>12</v>
      </c>
      <c r="C123">
        <v>62.681497086288203</v>
      </c>
      <c r="D123">
        <v>11.0858918286304</v>
      </c>
      <c r="E123">
        <f t="shared" si="1"/>
        <v>614704.35593007097</v>
      </c>
    </row>
    <row r="124" spans="1:5" x14ac:dyDescent="0.4">
      <c r="A124" t="s">
        <v>7</v>
      </c>
      <c r="B124" t="s">
        <v>12</v>
      </c>
      <c r="C124">
        <v>85.6375505646417</v>
      </c>
      <c r="D124">
        <v>6.5212567430883297</v>
      </c>
      <c r="E124">
        <f t="shared" si="1"/>
        <v>615255.30121355131</v>
      </c>
    </row>
    <row r="125" spans="1:5" x14ac:dyDescent="0.4">
      <c r="A125" t="s">
        <v>7</v>
      </c>
      <c r="B125" t="s">
        <v>12</v>
      </c>
      <c r="C125">
        <v>86.569562784683995</v>
      </c>
      <c r="D125">
        <v>6.1061427085288198</v>
      </c>
      <c r="E125">
        <f t="shared" si="1"/>
        <v>615277.66950683238</v>
      </c>
    </row>
    <row r="126" spans="1:5" x14ac:dyDescent="0.4">
      <c r="A126" t="s">
        <v>7</v>
      </c>
      <c r="B126" t="s">
        <v>12</v>
      </c>
      <c r="C126">
        <v>86.523373625103403</v>
      </c>
      <c r="D126">
        <v>7.14225226226187</v>
      </c>
      <c r="E126">
        <f t="shared" si="1"/>
        <v>615276.56096700241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2C8C0-52AB-4AD7-99D1-3BE4803BF6EE}">
  <dimension ref="A2:F4"/>
  <sheetViews>
    <sheetView workbookViewId="0">
      <selection activeCell="F4" sqref="F4"/>
    </sheetView>
  </sheetViews>
  <sheetFormatPr defaultRowHeight="14.6" x14ac:dyDescent="0.4"/>
  <cols>
    <col min="2" max="2" width="9.3828125" bestFit="1" customWidth="1"/>
    <col min="6" max="6" width="13.53515625" customWidth="1"/>
  </cols>
  <sheetData>
    <row r="2" spans="1:6" x14ac:dyDescent="0.4">
      <c r="A2" t="s">
        <v>54</v>
      </c>
      <c r="B2">
        <v>21.55</v>
      </c>
      <c r="C2" t="s">
        <v>55</v>
      </c>
      <c r="E2" t="s">
        <v>58</v>
      </c>
      <c r="F2">
        <v>17</v>
      </c>
    </row>
    <row r="3" spans="1:6" x14ac:dyDescent="0.4">
      <c r="B3">
        <f>B2*24</f>
        <v>517.20000000000005</v>
      </c>
      <c r="C3" t="s">
        <v>56</v>
      </c>
      <c r="E3" t="s">
        <v>59</v>
      </c>
      <c r="F3">
        <v>1.7</v>
      </c>
    </row>
    <row r="4" spans="1:6" x14ac:dyDescent="0.4">
      <c r="A4" t="s">
        <v>57</v>
      </c>
      <c r="B4" s="3">
        <f>LN(2)/B3</f>
        <v>1.3401917644237148E-3</v>
      </c>
      <c r="C4" t="s">
        <v>56</v>
      </c>
      <c r="E4" t="s">
        <v>60</v>
      </c>
      <c r="F4">
        <f>F2/(F2+F3)</f>
        <v>0.90909090909090917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Chang</vt:lpstr>
      <vt:lpstr>Curtin</vt:lpstr>
      <vt:lpstr>Bloomingdale</vt:lpstr>
      <vt:lpstr>Sheet2</vt:lpstr>
      <vt:lpstr>Gant PK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Elbert</dc:creator>
  <cp:lastModifiedBy>Don Elbert</cp:lastModifiedBy>
  <dcterms:created xsi:type="dcterms:W3CDTF">2025-07-20T00:23:10Z</dcterms:created>
  <dcterms:modified xsi:type="dcterms:W3CDTF">2025-08-04T16:03:02Z</dcterms:modified>
</cp:coreProperties>
</file>