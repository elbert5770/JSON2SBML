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ber\Documents\git\JSON2SBML\"/>
    </mc:Choice>
  </mc:AlternateContent>
  <xr:revisionPtr revIDLastSave="0" documentId="8_{965F305C-F7A4-4D2D-B250-D2483F6199F9}" xr6:coauthVersionLast="47" xr6:coauthVersionMax="47" xr10:uidLastSave="{00000000-0000-0000-0000-000000000000}"/>
  <bookViews>
    <workbookView xWindow="16809" yWindow="6917" windowWidth="15411" windowHeight="9703" xr2:uid="{A492241F-A5CA-4C86-BBDE-8A3C7FEB53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D15" i="1"/>
  <c r="G11" i="1"/>
  <c r="D11" i="1"/>
  <c r="H4" i="1"/>
  <c r="H5" i="1" s="1"/>
  <c r="E5" i="1"/>
  <c r="B5" i="1"/>
</calcChain>
</file>

<file path=xl/sharedStrings.xml><?xml version="1.0" encoding="utf-8"?>
<sst xmlns="http://schemas.openxmlformats.org/spreadsheetml/2006/main" count="20" uniqueCount="15">
  <si>
    <t>O13_plaque_40</t>
  </si>
  <si>
    <t>O13_O14_40</t>
  </si>
  <si>
    <t>Baseline_AB40_Oligomer_Fibril_Plaque</t>
  </si>
  <si>
    <t>O13_plaque_42</t>
  </si>
  <si>
    <t>O13_O14_42</t>
  </si>
  <si>
    <t>Baseline_AB42_Oligomer_Fibril_Plaque</t>
  </si>
  <si>
    <t>nM</t>
  </si>
  <si>
    <t>ng/nmol</t>
  </si>
  <si>
    <t>pg/L</t>
  </si>
  <si>
    <t>pg/mL</t>
  </si>
  <si>
    <t>kf0_40</t>
  </si>
  <si>
    <t>kf1_40</t>
  </si>
  <si>
    <t>Gain</t>
  </si>
  <si>
    <t>kb0_40</t>
  </si>
  <si>
    <t>kb1_40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</si>
</sst>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03360-FF07-4F4E-B72F-9A5BEC1E31B5}">
  <dimension ref="A2:I15"/>
  <sheetViews>
    <sheetView tabSelected="1" workbookViewId="0">
      <selection activeCell="G15" sqref="G15"/>
    </sheetView>
  </sheetViews>
  <sheetFormatPr defaultRowHeight="14.6" x14ac:dyDescent="0.4"/>
  <cols>
    <col min="1" max="1" width="50.69140625" customWidth="1"/>
    <col min="2" max="2" width="11.84375" customWidth="1"/>
    <col min="4" max="4" width="42.07421875" customWidth="1"/>
  </cols>
  <sheetData>
    <row r="2" spans="1:9" x14ac:dyDescent="0.4">
      <c r="A2" t="s">
        <v>0</v>
      </c>
      <c r="B2" s="1">
        <v>1.1018E-10</v>
      </c>
      <c r="D2" t="s">
        <v>3</v>
      </c>
      <c r="E2" s="1">
        <v>1.1018E-10</v>
      </c>
      <c r="H2">
        <v>1.3</v>
      </c>
      <c r="I2" t="s">
        <v>6</v>
      </c>
    </row>
    <row r="3" spans="1:9" x14ac:dyDescent="0.4">
      <c r="A3" t="s">
        <v>1</v>
      </c>
      <c r="B3" s="1">
        <v>2.1970000000000001E-5</v>
      </c>
      <c r="D3" t="s">
        <v>4</v>
      </c>
      <c r="E3" s="1">
        <v>2.7358100000000001E-4</v>
      </c>
      <c r="H3">
        <v>4514</v>
      </c>
      <c r="I3" t="s">
        <v>7</v>
      </c>
    </row>
    <row r="4" spans="1:9" x14ac:dyDescent="0.4">
      <c r="A4" t="s">
        <v>2</v>
      </c>
      <c r="B4" s="1">
        <v>5.0000000000000004E-6</v>
      </c>
      <c r="D4" t="s">
        <v>5</v>
      </c>
      <c r="E4" s="1">
        <v>5.0000000000000002E-5</v>
      </c>
      <c r="H4">
        <f>H2*H3*1000</f>
        <v>5868200</v>
      </c>
      <c r="I4" t="s">
        <v>8</v>
      </c>
    </row>
    <row r="5" spans="1:9" x14ac:dyDescent="0.4">
      <c r="B5" s="1">
        <f>B4*B3</f>
        <v>1.0985000000000001E-10</v>
      </c>
      <c r="E5" s="1">
        <f>E4*E3</f>
        <v>1.3679050000000001E-8</v>
      </c>
      <c r="H5">
        <f>H4/1000</f>
        <v>5868.2</v>
      </c>
      <c r="I5" t="s">
        <v>9</v>
      </c>
    </row>
    <row r="9" spans="1:9" x14ac:dyDescent="0.4">
      <c r="C9" t="s">
        <v>10</v>
      </c>
      <c r="D9" s="1">
        <v>50</v>
      </c>
      <c r="F9" t="s">
        <v>13</v>
      </c>
      <c r="G9" s="1">
        <v>2.7000000000000001E-3</v>
      </c>
    </row>
    <row r="10" spans="1:9" x14ac:dyDescent="0.4">
      <c r="C10" t="s">
        <v>11</v>
      </c>
      <c r="D10">
        <v>20</v>
      </c>
      <c r="F10" t="s">
        <v>14</v>
      </c>
      <c r="G10" s="1">
        <v>1.0000000000000001E-5</v>
      </c>
    </row>
    <row r="11" spans="1:9" x14ac:dyDescent="0.4">
      <c r="C11" t="s">
        <v>12</v>
      </c>
      <c r="D11" s="1">
        <f>D9/D10</f>
        <v>2.5</v>
      </c>
      <c r="G11" s="1">
        <f>G9/G10</f>
        <v>270</v>
      </c>
    </row>
    <row r="13" spans="1:9" x14ac:dyDescent="0.4">
      <c r="C13" t="s">
        <v>10</v>
      </c>
      <c r="D13" s="1">
        <v>990</v>
      </c>
      <c r="F13" t="s">
        <v>13</v>
      </c>
      <c r="G13" s="1">
        <v>1.2699999999999999E-2</v>
      </c>
    </row>
    <row r="14" spans="1:9" x14ac:dyDescent="0.4">
      <c r="C14" t="s">
        <v>11</v>
      </c>
      <c r="D14">
        <v>38</v>
      </c>
      <c r="F14" t="s">
        <v>14</v>
      </c>
      <c r="G14" s="1">
        <v>2.9999999999999997E-4</v>
      </c>
    </row>
    <row r="15" spans="1:9" x14ac:dyDescent="0.4">
      <c r="C15" t="s">
        <v>12</v>
      </c>
      <c r="D15" s="1">
        <f>D13/D14</f>
        <v>26.05263157894737</v>
      </c>
      <c r="G15" s="1">
        <f>G13/G14</f>
        <v>42.333333333333336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 Elbert</dc:creator>
  <cp:lastModifiedBy>Don Elbert</cp:lastModifiedBy>
  <dcterms:created xsi:type="dcterms:W3CDTF">2025-07-04T21:45:04Z</dcterms:created>
  <dcterms:modified xsi:type="dcterms:W3CDTF">2025-07-08T19:50:41Z</dcterms:modified>
</cp:coreProperties>
</file>