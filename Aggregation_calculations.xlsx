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ber\Documents\git\JSON2SBML\"/>
    </mc:Choice>
  </mc:AlternateContent>
  <xr:revisionPtr revIDLastSave="0" documentId="13_ncr:2001_{15E09AEE-7897-4346-A276-585DE265E9B3}" xr6:coauthVersionLast="47" xr6:coauthVersionMax="47" xr10:uidLastSave="{00000000-0000-0000-0000-000000000000}"/>
  <bookViews>
    <workbookView xWindow="-86" yWindow="0" windowWidth="16629" windowHeight="17880" activeTab="3" xr2:uid="{A492241F-A5CA-4C86-BBDE-8A3C7FEB53B0}"/>
  </bookViews>
  <sheets>
    <sheet name="Sheet1" sheetId="1" r:id="rId1"/>
    <sheet name="O_P" sheetId="5" r:id="rId2"/>
    <sheet name="Michaels" sheetId="4" r:id="rId3"/>
    <sheet name="Masters" sheetId="6" r:id="rId4"/>
    <sheet name="Sheet2" sheetId="2" r:id="rId5"/>
    <sheet name="Sheet3" sheetId="3" r:id="rId6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6" l="1"/>
  <c r="M10" i="6" s="1"/>
  <c r="K9" i="6"/>
  <c r="M9" i="6" s="1"/>
  <c r="K8" i="6"/>
  <c r="M8" i="6" s="1"/>
  <c r="B35" i="6"/>
  <c r="E35" i="6"/>
  <c r="E30" i="6"/>
  <c r="E31" i="6" s="1"/>
  <c r="E32" i="6" s="1"/>
  <c r="E33" i="6" s="1"/>
  <c r="B30" i="6"/>
  <c r="B31" i="6" s="1"/>
  <c r="B32" i="6" s="1"/>
  <c r="B33" i="6" s="1"/>
  <c r="E23" i="6"/>
  <c r="E24" i="6" s="1"/>
  <c r="E25" i="6" s="1"/>
  <c r="E26" i="6" s="1"/>
  <c r="B23" i="6"/>
  <c r="B24" i="6" s="1"/>
  <c r="B25" i="6" s="1"/>
  <c r="B26" i="6" s="1"/>
  <c r="E17" i="6"/>
  <c r="E18" i="6" s="1"/>
  <c r="E19" i="6" s="1"/>
  <c r="E20" i="6" s="1"/>
  <c r="B17" i="6"/>
  <c r="B18" i="6" s="1"/>
  <c r="B19" i="6" s="1"/>
  <c r="B20" i="6" s="1"/>
  <c r="E10" i="6"/>
  <c r="E11" i="6" s="1"/>
  <c r="E12" i="6" s="1"/>
  <c r="E13" i="6" s="1"/>
  <c r="B10" i="6"/>
  <c r="B11" i="6" s="1"/>
  <c r="B12" i="6" s="1"/>
  <c r="B13" i="6" s="1"/>
  <c r="I4" i="6"/>
  <c r="I3" i="6"/>
  <c r="E3" i="6"/>
  <c r="E4" i="6" s="1"/>
  <c r="E5" i="6" s="1"/>
  <c r="E6" i="6" s="1"/>
  <c r="B6" i="6"/>
  <c r="B5" i="6"/>
  <c r="B4" i="6"/>
  <c r="B3" i="6"/>
  <c r="D3" i="4"/>
  <c r="B34" i="4"/>
  <c r="B33" i="4"/>
  <c r="B31" i="4"/>
  <c r="B30" i="4"/>
  <c r="B29" i="4"/>
  <c r="D22" i="4"/>
  <c r="D18" i="4"/>
  <c r="D17" i="4"/>
  <c r="D16" i="4"/>
  <c r="D15" i="4"/>
  <c r="D14" i="4"/>
  <c r="D10" i="4"/>
  <c r="D6" i="4"/>
  <c r="D5" i="4"/>
  <c r="D4" i="4"/>
  <c r="D2" i="4"/>
  <c r="B20" i="5"/>
  <c r="B18" i="5"/>
  <c r="M11" i="6" l="1"/>
  <c r="B11" i="5"/>
  <c r="B14" i="5"/>
  <c r="B10" i="5"/>
  <c r="I3" i="3"/>
  <c r="I2" i="3"/>
  <c r="B4" i="3"/>
  <c r="R4" i="1"/>
  <c r="K4" i="1"/>
  <c r="C8" i="2"/>
  <c r="C4" i="2"/>
  <c r="I25" i="1"/>
  <c r="I23" i="1"/>
  <c r="I22" i="1"/>
  <c r="I29" i="1" s="1"/>
  <c r="L14" i="1"/>
  <c r="L13" i="1"/>
  <c r="L10" i="1"/>
  <c r="L9" i="1"/>
  <c r="I14" i="1"/>
  <c r="I13" i="1"/>
  <c r="I26" i="1" s="1"/>
  <c r="I10" i="1"/>
  <c r="I9" i="1"/>
  <c r="D38" i="1"/>
  <c r="D35" i="1"/>
  <c r="D32" i="1"/>
  <c r="D29" i="1"/>
  <c r="D26" i="1"/>
  <c r="D33" i="1" s="1"/>
  <c r="D39" i="1" s="1"/>
  <c r="D25" i="1"/>
  <c r="D22" i="1"/>
  <c r="D23" i="1"/>
  <c r="D30" i="1" s="1"/>
  <c r="G15" i="1"/>
  <c r="D15" i="1"/>
  <c r="G11" i="1"/>
  <c r="D11" i="1"/>
  <c r="H4" i="1"/>
  <c r="H5" i="1" s="1"/>
  <c r="E5" i="1"/>
  <c r="B5" i="1"/>
  <c r="I30" i="1" l="1"/>
  <c r="I32" i="1"/>
  <c r="I38" i="1" s="1"/>
  <c r="I33" i="1"/>
  <c r="I39" i="1" s="1"/>
  <c r="I35" i="1"/>
  <c r="I36" i="1"/>
  <c r="D36" i="1"/>
</calcChain>
</file>

<file path=xl/sharedStrings.xml><?xml version="1.0" encoding="utf-8"?>
<sst xmlns="http://schemas.openxmlformats.org/spreadsheetml/2006/main" count="221" uniqueCount="100">
  <si>
    <t>O13_plaque_40</t>
  </si>
  <si>
    <t>O13_O14_40</t>
  </si>
  <si>
    <t>Baseline_AB40_Oligomer_Fibril_Plaque</t>
  </si>
  <si>
    <t>O13_plaque_42</t>
  </si>
  <si>
    <t>O13_O14_42</t>
  </si>
  <si>
    <t>Baseline_AB42_Oligomer_Fibril_Plaque</t>
  </si>
  <si>
    <t>nM</t>
  </si>
  <si>
    <t>ng/nmol</t>
  </si>
  <si>
    <t>pg/L</t>
  </si>
  <si>
    <t>pg/mL</t>
  </si>
  <si>
    <t>kf0_40</t>
  </si>
  <si>
    <t>kf1_40</t>
  </si>
  <si>
    <t>Gain</t>
  </si>
  <si>
    <t>kb0_40</t>
  </si>
  <si>
    <t>kb1_40</t>
  </si>
  <si>
    <t>Garai</t>
  </si>
  <si>
    <t>ForAsymp40</t>
  </si>
  <si>
    <t>ForAsymp42</t>
  </si>
  <si>
    <t>BackAsymp40</t>
  </si>
  <si>
    <t>BackAsymp42</t>
  </si>
  <si>
    <t>?</t>
  </si>
  <si>
    <t>kf1-Akf1</t>
  </si>
  <si>
    <t>kf0-Akf1</t>
  </si>
  <si>
    <t>KF</t>
  </si>
  <si>
    <t>Kfnew</t>
  </si>
  <si>
    <t>Final</t>
  </si>
  <si>
    <t>Finalnew</t>
  </si>
  <si>
    <t>kf0_42</t>
  </si>
  <si>
    <t>kf1_42</t>
  </si>
  <si>
    <t>kb0_42</t>
  </si>
  <si>
    <t>kb1_42</t>
  </si>
  <si>
    <t>IDE_conc</t>
  </si>
  <si>
    <t>kAPP</t>
  </si>
  <si>
    <t>CSF</t>
  </si>
  <si>
    <t>IDE</t>
  </si>
  <si>
    <t>nM/h</t>
  </si>
  <si>
    <t>1/h</t>
  </si>
  <si>
    <t>Vmax_AB42_notAPOE</t>
  </si>
  <si>
    <t>Microglia_CL_low_AB42</t>
  </si>
  <si>
    <t>VacaVV(t)</t>
  </si>
  <si>
    <t>k_O13_O14_AB42_ISF:</t>
  </si>
  <si>
    <t>k_O14_O15_AB42_ISF:</t>
  </si>
  <si>
    <t>k_O17_O18_AB42_ISF:</t>
  </si>
  <si>
    <t>Baseline_AB42_O_P:</t>
  </si>
  <si>
    <t>AB40_O1_ISF + AB40_O13_ISF -&gt; AB40_O25_ISF; Baseline_AB40_O_P*k_O13_O14_AB40_ISF * (AB40_O1_ISF/V_ISF) * (AB40_O13_ISF/V_ISF) * V_ISF</t>
  </si>
  <si>
    <t>Baseline_AB42_O_P*k_O13_O14_AB42_ISF</t>
  </si>
  <si>
    <t>L / (nano * mol * h)</t>
  </si>
  <si>
    <t>5.00E-05</t>
  </si>
  <si>
    <t>Baseline_AB42_O_P*k_O17_O18_AB42_ISF</t>
  </si>
  <si>
    <t>ng/h</t>
  </si>
  <si>
    <t>nmol/h</t>
  </si>
  <si>
    <t>V_BrainISF</t>
  </si>
  <si>
    <t>L</t>
  </si>
  <si>
    <t>k_plus</t>
  </si>
  <si>
    <t>1/M/s</t>
  </si>
  <si>
    <t>1/nM h</t>
  </si>
  <si>
    <t>k_o1</t>
  </si>
  <si>
    <t>M^0.2/s</t>
  </si>
  <si>
    <t>nM^0.2/h</t>
  </si>
  <si>
    <t>k_o2</t>
  </si>
  <si>
    <t>1/M^0.9s</t>
  </si>
  <si>
    <t>k_c</t>
  </si>
  <si>
    <t>1/M^2.7s</t>
  </si>
  <si>
    <t>1/nM^2.7 h</t>
  </si>
  <si>
    <t>1/nM^0.9 h</t>
  </si>
  <si>
    <t>1/s</t>
  </si>
  <si>
    <t>n_c</t>
  </si>
  <si>
    <t>n_o1</t>
  </si>
  <si>
    <t>n_o2</t>
  </si>
  <si>
    <t>ke (k_off)</t>
  </si>
  <si>
    <t>k_d</t>
  </si>
  <si>
    <t>1s</t>
  </si>
  <si>
    <t>Fibril</t>
  </si>
  <si>
    <t>DP</t>
  </si>
  <si>
    <t>MW</t>
  </si>
  <si>
    <t>FibrilNumber</t>
  </si>
  <si>
    <t>Conc</t>
  </si>
  <si>
    <t>mg</t>
  </si>
  <si>
    <t>ng/L</t>
  </si>
  <si>
    <t>mg/L</t>
  </si>
  <si>
    <t>amount</t>
  </si>
  <si>
    <t>mg/mL</t>
  </si>
  <si>
    <t>k_off</t>
  </si>
  <si>
    <t>nM^0.8/h</t>
  </si>
  <si>
    <t>M^0.8/s</t>
  </si>
  <si>
    <t>Control</t>
  </si>
  <si>
    <t>Total AB</t>
  </si>
  <si>
    <t>mmol/mL</t>
  </si>
  <si>
    <t>nmol/mL</t>
  </si>
  <si>
    <t>AD</t>
  </si>
  <si>
    <t xml:space="preserve">mg </t>
  </si>
  <si>
    <t>CSF Abeta</t>
  </si>
  <si>
    <t>Abeta42</t>
  </si>
  <si>
    <t>Formic acid</t>
  </si>
  <si>
    <t>Urea/detergent</t>
  </si>
  <si>
    <t>Na2CO3</t>
  </si>
  <si>
    <t>TBS</t>
  </si>
  <si>
    <t>Plaque</t>
  </si>
  <si>
    <t>Oligomer</t>
  </si>
  <si>
    <t>nmol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</si>
</sst>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169" fontId="0" fillId="0" borderId="0" xfId="0" applyNumberFormat="1"/>
    <xf numFmtId="0" fontId="0" fillId="0" borderId="0" xfId="0" quotePrefix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03360-FF07-4F4E-B72F-9A5BEC1E31B5}">
  <dimension ref="A1:R39"/>
  <sheetViews>
    <sheetView workbookViewId="0">
      <selection activeCell="D13" sqref="D13"/>
    </sheetView>
  </sheetViews>
  <sheetFormatPr defaultRowHeight="14.6" x14ac:dyDescent="0.4"/>
  <cols>
    <col min="1" max="1" width="50.69140625" customWidth="1"/>
    <col min="2" max="2" width="11.84375" customWidth="1"/>
    <col min="4" max="4" width="20.3046875" customWidth="1"/>
  </cols>
  <sheetData>
    <row r="1" spans="1:18" x14ac:dyDescent="0.4">
      <c r="K1" t="s">
        <v>33</v>
      </c>
    </row>
    <row r="2" spans="1:18" x14ac:dyDescent="0.4">
      <c r="A2" t="s">
        <v>0</v>
      </c>
      <c r="B2" s="1">
        <v>1.1018E-10</v>
      </c>
      <c r="D2" t="s">
        <v>3</v>
      </c>
      <c r="E2" s="1">
        <v>1.1018E-10</v>
      </c>
      <c r="H2">
        <v>1.3</v>
      </c>
      <c r="I2" t="s">
        <v>6</v>
      </c>
      <c r="K2">
        <v>1650</v>
      </c>
      <c r="L2" t="s">
        <v>9</v>
      </c>
      <c r="Q2" t="s">
        <v>34</v>
      </c>
      <c r="R2">
        <v>5.0000000000000001E-3</v>
      </c>
    </row>
    <row r="3" spans="1:18" x14ac:dyDescent="0.4">
      <c r="A3" t="s">
        <v>1</v>
      </c>
      <c r="B3" s="1">
        <v>2.1970000000000001E-5</v>
      </c>
      <c r="D3" t="s">
        <v>4</v>
      </c>
      <c r="E3" s="1">
        <v>2.7358100000000001E-4</v>
      </c>
      <c r="H3">
        <v>4514</v>
      </c>
      <c r="I3" t="s">
        <v>7</v>
      </c>
      <c r="K3" s="1">
        <v>13000</v>
      </c>
      <c r="L3" t="s">
        <v>9</v>
      </c>
      <c r="Q3" t="s">
        <v>34</v>
      </c>
      <c r="R3">
        <v>9.01</v>
      </c>
    </row>
    <row r="4" spans="1:18" x14ac:dyDescent="0.4">
      <c r="A4" t="s">
        <v>2</v>
      </c>
      <c r="B4" s="1">
        <v>5.0000000000000004E-6</v>
      </c>
      <c r="D4" t="s">
        <v>5</v>
      </c>
      <c r="E4" s="1">
        <v>5.0000000000000002E-5</v>
      </c>
      <c r="H4">
        <f>H2*H3*1000</f>
        <v>5868200</v>
      </c>
      <c r="I4" t="s">
        <v>8</v>
      </c>
      <c r="K4" s="1">
        <f>K3/K2</f>
        <v>7.8787878787878789</v>
      </c>
      <c r="R4">
        <f>R3/R2</f>
        <v>1802</v>
      </c>
    </row>
    <row r="5" spans="1:18" x14ac:dyDescent="0.4">
      <c r="B5" s="1">
        <f>B4*B3</f>
        <v>1.0985000000000001E-10</v>
      </c>
      <c r="E5" s="1">
        <f>E4*E3</f>
        <v>1.3679050000000001E-8</v>
      </c>
      <c r="H5">
        <f>H4/1000</f>
        <v>5868.2</v>
      </c>
      <c r="I5" t="s">
        <v>9</v>
      </c>
    </row>
    <row r="8" spans="1:18" x14ac:dyDescent="0.4">
      <c r="C8" t="s">
        <v>15</v>
      </c>
    </row>
    <row r="9" spans="1:18" x14ac:dyDescent="0.4">
      <c r="C9" t="s">
        <v>10</v>
      </c>
      <c r="D9">
        <v>50</v>
      </c>
      <c r="F9" t="s">
        <v>13</v>
      </c>
      <c r="G9" s="1">
        <v>2.7000000000000001E-3</v>
      </c>
      <c r="I9">
        <f>D9*3600/1000000000</f>
        <v>1.8000000000000001E-4</v>
      </c>
      <c r="L9">
        <f>G9*3600</f>
        <v>9.7200000000000006</v>
      </c>
    </row>
    <row r="10" spans="1:18" x14ac:dyDescent="0.4">
      <c r="C10" t="s">
        <v>11</v>
      </c>
      <c r="D10">
        <v>20</v>
      </c>
      <c r="F10" t="s">
        <v>14</v>
      </c>
      <c r="G10" s="1">
        <v>1.0000000000000001E-5</v>
      </c>
      <c r="I10">
        <f>D10*3600/1000000000</f>
        <v>7.2000000000000002E-5</v>
      </c>
      <c r="L10">
        <f>G10*3600</f>
        <v>3.6000000000000004E-2</v>
      </c>
    </row>
    <row r="11" spans="1:18" x14ac:dyDescent="0.4">
      <c r="C11" t="s">
        <v>12</v>
      </c>
      <c r="D11">
        <f>D9/D10</f>
        <v>2.5</v>
      </c>
      <c r="G11" s="1">
        <f>G9/G10</f>
        <v>270</v>
      </c>
    </row>
    <row r="13" spans="1:18" x14ac:dyDescent="0.4">
      <c r="C13" t="s">
        <v>27</v>
      </c>
      <c r="D13">
        <v>99</v>
      </c>
      <c r="F13" t="s">
        <v>29</v>
      </c>
      <c r="G13" s="1">
        <v>1.2699999999999999E-2</v>
      </c>
      <c r="I13">
        <f>D13*3600/1000000000</f>
        <v>3.5639999999999999E-4</v>
      </c>
      <c r="L13">
        <f>G13*3600</f>
        <v>45.72</v>
      </c>
    </row>
    <row r="14" spans="1:18" x14ac:dyDescent="0.4">
      <c r="C14" t="s">
        <v>28</v>
      </c>
      <c r="D14">
        <v>38</v>
      </c>
      <c r="F14" t="s">
        <v>30</v>
      </c>
      <c r="G14" s="1">
        <v>2.9999999999999997E-4</v>
      </c>
      <c r="I14">
        <f>D14*3600/1000000000</f>
        <v>1.3679999999999999E-4</v>
      </c>
      <c r="L14">
        <f>G14*3600</f>
        <v>1.0799999999999998</v>
      </c>
    </row>
    <row r="15" spans="1:18" x14ac:dyDescent="0.4">
      <c r="C15" t="s">
        <v>12</v>
      </c>
      <c r="D15">
        <f>D13/D14</f>
        <v>2.6052631578947367</v>
      </c>
      <c r="G15" s="1">
        <f>G13/G14</f>
        <v>42.333333333333336</v>
      </c>
    </row>
    <row r="17" spans="2:9" x14ac:dyDescent="0.4">
      <c r="C17" t="s">
        <v>16</v>
      </c>
      <c r="D17">
        <v>0.3</v>
      </c>
      <c r="H17" t="s">
        <v>16</v>
      </c>
      <c r="I17">
        <v>0.3</v>
      </c>
    </row>
    <row r="18" spans="2:9" x14ac:dyDescent="0.4">
      <c r="C18" t="s">
        <v>17</v>
      </c>
      <c r="D18">
        <v>2</v>
      </c>
      <c r="H18" t="s">
        <v>17</v>
      </c>
      <c r="I18">
        <v>2</v>
      </c>
    </row>
    <row r="20" spans="2:9" x14ac:dyDescent="0.4">
      <c r="C20" t="s">
        <v>18</v>
      </c>
      <c r="D20" t="s">
        <v>20</v>
      </c>
      <c r="H20" t="s">
        <v>18</v>
      </c>
      <c r="I20" t="s">
        <v>20</v>
      </c>
    </row>
    <row r="21" spans="2:9" x14ac:dyDescent="0.4">
      <c r="C21" t="s">
        <v>19</v>
      </c>
      <c r="D21" t="s">
        <v>20</v>
      </c>
      <c r="H21" t="s">
        <v>19</v>
      </c>
      <c r="I21" t="s">
        <v>20</v>
      </c>
    </row>
    <row r="22" spans="2:9" x14ac:dyDescent="0.4">
      <c r="B22">
        <v>40</v>
      </c>
      <c r="C22" t="s">
        <v>21</v>
      </c>
      <c r="D22">
        <f>D10*(1-D17)</f>
        <v>14</v>
      </c>
      <c r="H22" t="s">
        <v>21</v>
      </c>
      <c r="I22">
        <f>I10*(1-I17)</f>
        <v>5.0399999999999999E-5</v>
      </c>
    </row>
    <row r="23" spans="2:9" x14ac:dyDescent="0.4">
      <c r="B23">
        <v>42</v>
      </c>
      <c r="C23" t="s">
        <v>21</v>
      </c>
      <c r="D23">
        <f>D14*(1-D18)</f>
        <v>-38</v>
      </c>
      <c r="H23" t="s">
        <v>21</v>
      </c>
      <c r="I23">
        <f>I14*(1-I18)</f>
        <v>-1.3679999999999999E-4</v>
      </c>
    </row>
    <row r="25" spans="2:9" x14ac:dyDescent="0.4">
      <c r="B25">
        <v>40</v>
      </c>
      <c r="C25" t="s">
        <v>22</v>
      </c>
      <c r="D25">
        <f>D9-D17*D10</f>
        <v>44</v>
      </c>
      <c r="H25" t="s">
        <v>22</v>
      </c>
      <c r="I25">
        <f>I9-I17*I10</f>
        <v>1.584E-4</v>
      </c>
    </row>
    <row r="26" spans="2:9" x14ac:dyDescent="0.4">
      <c r="B26">
        <v>42</v>
      </c>
      <c r="C26" t="s">
        <v>22</v>
      </c>
      <c r="D26">
        <f>D13-D18*D14</f>
        <v>23</v>
      </c>
      <c r="H26" t="s">
        <v>22</v>
      </c>
      <c r="I26">
        <f>I13-I18*I14</f>
        <v>8.2800000000000007E-5</v>
      </c>
    </row>
    <row r="29" spans="2:9" x14ac:dyDescent="0.4">
      <c r="B29">
        <v>40</v>
      </c>
      <c r="C29" t="s">
        <v>23</v>
      </c>
      <c r="D29">
        <f>D22/(D9-D10)</f>
        <v>0.46666666666666667</v>
      </c>
      <c r="H29" t="s">
        <v>23</v>
      </c>
      <c r="I29">
        <f>I22/(I9-I10)</f>
        <v>0.46666666666666662</v>
      </c>
    </row>
    <row r="30" spans="2:9" x14ac:dyDescent="0.4">
      <c r="B30">
        <v>42</v>
      </c>
      <c r="C30" t="s">
        <v>23</v>
      </c>
      <c r="D30">
        <f>D23/(D13-D14)</f>
        <v>-0.62295081967213117</v>
      </c>
      <c r="H30" t="s">
        <v>23</v>
      </c>
      <c r="I30">
        <f>I23/(I13-I14)</f>
        <v>-0.62295081967213106</v>
      </c>
    </row>
    <row r="32" spans="2:9" x14ac:dyDescent="0.4">
      <c r="B32">
        <v>40</v>
      </c>
      <c r="C32" t="s">
        <v>24</v>
      </c>
      <c r="D32">
        <f>D25/(D9-D10)</f>
        <v>1.4666666666666666</v>
      </c>
      <c r="H32" t="s">
        <v>24</v>
      </c>
      <c r="I32">
        <f>I25/(I9-I10)</f>
        <v>1.4666666666666666</v>
      </c>
    </row>
    <row r="33" spans="2:9" x14ac:dyDescent="0.4">
      <c r="B33">
        <v>42</v>
      </c>
      <c r="C33" t="s">
        <v>24</v>
      </c>
      <c r="D33">
        <f>D26/(D13-D14)</f>
        <v>0.37704918032786883</v>
      </c>
      <c r="H33" t="s">
        <v>24</v>
      </c>
      <c r="I33">
        <f>I26/(I13-I14)</f>
        <v>0.37704918032786888</v>
      </c>
    </row>
    <row r="35" spans="2:9" x14ac:dyDescent="0.4">
      <c r="B35">
        <v>40</v>
      </c>
      <c r="C35" t="s">
        <v>25</v>
      </c>
      <c r="D35">
        <f>D25*D29/(2^2+D29)+D17*D10</f>
        <v>10.597014925373134</v>
      </c>
      <c r="H35" t="s">
        <v>25</v>
      </c>
      <c r="I35">
        <f>I25*I29/(2^2+I29)+I17*I10</f>
        <v>3.8149253731343285E-5</v>
      </c>
    </row>
    <row r="36" spans="2:9" x14ac:dyDescent="0.4">
      <c r="B36">
        <v>42</v>
      </c>
      <c r="C36" t="s">
        <v>25</v>
      </c>
      <c r="D36">
        <f>D26*D23/(2^2+D23)+D18*D14</f>
        <v>101.70588235294117</v>
      </c>
      <c r="H36" t="s">
        <v>25</v>
      </c>
      <c r="I36">
        <f>I26*I23/(2^2+I23)+I18*I14</f>
        <v>2.7359716814315049E-4</v>
      </c>
    </row>
    <row r="38" spans="2:9" x14ac:dyDescent="0.4">
      <c r="B38">
        <v>40</v>
      </c>
      <c r="C38" t="s">
        <v>26</v>
      </c>
      <c r="D38">
        <f>D25*D32/(2^2+D32)+D17*D10</f>
        <v>17.804878048780488</v>
      </c>
      <c r="H38" t="s">
        <v>26</v>
      </c>
      <c r="I38">
        <f>I25*I32/(2^2+I32)+I17*I10</f>
        <v>6.4097560975609748E-5</v>
      </c>
    </row>
    <row r="39" spans="2:9" x14ac:dyDescent="0.4">
      <c r="B39">
        <v>42</v>
      </c>
      <c r="C39" t="s">
        <v>26</v>
      </c>
      <c r="D39">
        <f>D26*D33/(2^2+D33)+D18*D14</f>
        <v>77.981273408239701</v>
      </c>
      <c r="H39" t="s">
        <v>26</v>
      </c>
      <c r="I39">
        <f>I26*I33/(2^2+I33)+I18*I14</f>
        <v>2.8073258426966293E-4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24A9E-6FCB-4C05-82C2-1A143DC1F7F8}">
  <dimension ref="A2:C20"/>
  <sheetViews>
    <sheetView workbookViewId="0">
      <selection activeCell="A21" sqref="A21"/>
    </sheetView>
  </sheetViews>
  <sheetFormatPr defaultRowHeight="14.6" x14ac:dyDescent="0.4"/>
  <cols>
    <col min="1" max="1" width="29.15234375" customWidth="1"/>
    <col min="2" max="2" width="15.3828125" customWidth="1"/>
  </cols>
  <sheetData>
    <row r="2" spans="1:3" x14ac:dyDescent="0.4">
      <c r="A2" t="s">
        <v>40</v>
      </c>
      <c r="B2">
        <v>4.2361640492676201E-3</v>
      </c>
    </row>
    <row r="3" spans="1:3" x14ac:dyDescent="0.4">
      <c r="A3" t="s">
        <v>41</v>
      </c>
      <c r="B3">
        <v>4.2365071638969E-3</v>
      </c>
    </row>
    <row r="4" spans="1:3" x14ac:dyDescent="0.4">
      <c r="A4" t="s">
        <v>42</v>
      </c>
      <c r="B4">
        <v>4.2371359415777701E-3</v>
      </c>
    </row>
    <row r="6" spans="1:3" x14ac:dyDescent="0.4">
      <c r="A6" t="s">
        <v>43</v>
      </c>
      <c r="B6" s="2">
        <v>5.9999953476689599E-2</v>
      </c>
    </row>
    <row r="8" spans="1:3" x14ac:dyDescent="0.4">
      <c r="A8" t="s">
        <v>44</v>
      </c>
    </row>
    <row r="10" spans="1:3" x14ac:dyDescent="0.4">
      <c r="A10" t="s">
        <v>45</v>
      </c>
      <c r="B10">
        <f>B6*B2</f>
        <v>2.5416964587568225E-4</v>
      </c>
    </row>
    <row r="11" spans="1:3" x14ac:dyDescent="0.4">
      <c r="A11" t="s">
        <v>48</v>
      </c>
      <c r="B11">
        <f>B6*B4</f>
        <v>2.542279593690756E-4</v>
      </c>
    </row>
    <row r="12" spans="1:3" x14ac:dyDescent="0.4">
      <c r="A12" t="s">
        <v>5</v>
      </c>
      <c r="B12" s="3" t="s">
        <v>47</v>
      </c>
      <c r="C12" t="s">
        <v>46</v>
      </c>
    </row>
    <row r="14" spans="1:3" x14ac:dyDescent="0.4">
      <c r="B14">
        <f>B12/B10</f>
        <v>0.19671900563789457</v>
      </c>
    </row>
    <row r="17" spans="1:3" x14ac:dyDescent="0.4">
      <c r="A17" t="s">
        <v>32</v>
      </c>
      <c r="B17">
        <v>3500</v>
      </c>
      <c r="C17" t="s">
        <v>49</v>
      </c>
    </row>
    <row r="18" spans="1:3" x14ac:dyDescent="0.4">
      <c r="B18">
        <f>B17/4514</f>
        <v>0.77536552946389015</v>
      </c>
      <c r="C18" t="s">
        <v>50</v>
      </c>
    </row>
    <row r="19" spans="1:3" x14ac:dyDescent="0.4">
      <c r="A19" t="s">
        <v>51</v>
      </c>
      <c r="B19">
        <v>0.26100000000000001</v>
      </c>
      <c r="C19" t="s">
        <v>52</v>
      </c>
    </row>
    <row r="20" spans="1:3" x14ac:dyDescent="0.4">
      <c r="A20" t="s">
        <v>32</v>
      </c>
      <c r="B20">
        <f>B18/B19</f>
        <v>2.9707491550340617</v>
      </c>
      <c r="C20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42D68-3F33-4ED1-964A-BB6F9897DC71}">
  <dimension ref="A2:E34"/>
  <sheetViews>
    <sheetView workbookViewId="0">
      <selection activeCell="D5" sqref="D5"/>
    </sheetView>
  </sheetViews>
  <sheetFormatPr defaultRowHeight="14.6" x14ac:dyDescent="0.4"/>
  <cols>
    <col min="2" max="2" width="10.84375" bestFit="1" customWidth="1"/>
    <col min="4" max="4" width="11.84375" bestFit="1" customWidth="1"/>
  </cols>
  <sheetData>
    <row r="2" spans="1:5" x14ac:dyDescent="0.4">
      <c r="A2" t="s">
        <v>53</v>
      </c>
      <c r="B2" s="1">
        <v>3000000</v>
      </c>
      <c r="C2" t="s">
        <v>54</v>
      </c>
      <c r="D2" s="4">
        <f>B2/1000000000*3600</f>
        <v>10.8</v>
      </c>
      <c r="E2" t="s">
        <v>55</v>
      </c>
    </row>
    <row r="3" spans="1:5" x14ac:dyDescent="0.4">
      <c r="A3" t="s">
        <v>56</v>
      </c>
      <c r="B3" s="1">
        <v>6.7000000000000004E-8</v>
      </c>
      <c r="C3" t="s">
        <v>84</v>
      </c>
      <c r="D3" s="1">
        <f>B3*1000000000^0.8*3600</f>
        <v>3822.7623802162007</v>
      </c>
      <c r="E3" t="s">
        <v>83</v>
      </c>
    </row>
    <row r="4" spans="1:5" x14ac:dyDescent="0.4">
      <c r="A4" t="s">
        <v>59</v>
      </c>
      <c r="B4">
        <v>1.93</v>
      </c>
      <c r="C4" t="s">
        <v>60</v>
      </c>
      <c r="D4">
        <f>B4/1000000000^0.9*3600</f>
        <v>5.5189925748643037E-5</v>
      </c>
      <c r="E4" t="s">
        <v>64</v>
      </c>
    </row>
    <row r="5" spans="1:5" x14ac:dyDescent="0.4">
      <c r="A5" t="s">
        <v>61</v>
      </c>
      <c r="B5" s="1">
        <v>1900000000</v>
      </c>
      <c r="C5" t="s">
        <v>62</v>
      </c>
      <c r="D5" s="1">
        <f>B5/1000000000^2.7*3600</f>
        <v>3.4281206780105345E-12</v>
      </c>
      <c r="E5" t="s">
        <v>63</v>
      </c>
    </row>
    <row r="6" spans="1:5" x14ac:dyDescent="0.4">
      <c r="A6" t="s">
        <v>82</v>
      </c>
      <c r="B6" s="1">
        <v>0</v>
      </c>
      <c r="C6" t="s">
        <v>65</v>
      </c>
      <c r="D6" s="1">
        <f>B6*3600</f>
        <v>0</v>
      </c>
      <c r="E6" t="s">
        <v>36</v>
      </c>
    </row>
    <row r="7" spans="1:5" x14ac:dyDescent="0.4">
      <c r="A7" t="s">
        <v>66</v>
      </c>
      <c r="B7" s="1">
        <v>2.7</v>
      </c>
    </row>
    <row r="8" spans="1:5" x14ac:dyDescent="0.4">
      <c r="A8" t="s">
        <v>67</v>
      </c>
      <c r="B8" s="1">
        <v>0.8</v>
      </c>
    </row>
    <row r="9" spans="1:5" x14ac:dyDescent="0.4">
      <c r="A9" t="s">
        <v>68</v>
      </c>
      <c r="B9" s="1">
        <v>0.9</v>
      </c>
    </row>
    <row r="10" spans="1:5" x14ac:dyDescent="0.4">
      <c r="A10" t="s">
        <v>70</v>
      </c>
      <c r="B10" s="1">
        <v>8.7999999999999998E-5</v>
      </c>
      <c r="C10" t="s">
        <v>71</v>
      </c>
      <c r="D10" s="1">
        <f>B10*3600</f>
        <v>0.31679999999999997</v>
      </c>
      <c r="E10" t="s">
        <v>36</v>
      </c>
    </row>
    <row r="14" spans="1:5" x14ac:dyDescent="0.4">
      <c r="A14" t="s">
        <v>53</v>
      </c>
      <c r="B14" s="1">
        <v>3000000</v>
      </c>
      <c r="C14" t="s">
        <v>54</v>
      </c>
      <c r="D14" s="4">
        <f>B14/1000000000*3600</f>
        <v>10.8</v>
      </c>
      <c r="E14" t="s">
        <v>55</v>
      </c>
    </row>
    <row r="15" spans="1:5" x14ac:dyDescent="0.4">
      <c r="A15" t="s">
        <v>56</v>
      </c>
      <c r="B15" s="1">
        <v>6.7000000000000004E-8</v>
      </c>
      <c r="C15" t="s">
        <v>57</v>
      </c>
      <c r="D15" s="4">
        <f>B15*1000000000^0.2*3600</f>
        <v>1.5218691148862259E-2</v>
      </c>
      <c r="E15" t="s">
        <v>58</v>
      </c>
    </row>
    <row r="16" spans="1:5" x14ac:dyDescent="0.4">
      <c r="A16" t="s">
        <v>59</v>
      </c>
      <c r="B16">
        <v>2</v>
      </c>
      <c r="C16" t="s">
        <v>60</v>
      </c>
      <c r="D16">
        <f>B16/1000000000^0.9*3600</f>
        <v>5.7191632900148226E-5</v>
      </c>
      <c r="E16" t="s">
        <v>64</v>
      </c>
    </row>
    <row r="17" spans="1:5" x14ac:dyDescent="0.4">
      <c r="A17" t="s">
        <v>61</v>
      </c>
      <c r="B17" s="1">
        <v>1900000000</v>
      </c>
      <c r="C17" t="s">
        <v>62</v>
      </c>
      <c r="D17" s="1">
        <f>B17/1000000000^2.7*3600</f>
        <v>3.4281206780105345E-12</v>
      </c>
      <c r="E17" t="s">
        <v>63</v>
      </c>
    </row>
    <row r="18" spans="1:5" x14ac:dyDescent="0.4">
      <c r="A18" t="s">
        <v>69</v>
      </c>
      <c r="B18" s="1">
        <v>9.7E-5</v>
      </c>
      <c r="C18" t="s">
        <v>65</v>
      </c>
      <c r="D18" s="1">
        <f>B18*3600</f>
        <v>0.34920000000000001</v>
      </c>
      <c r="E18" t="s">
        <v>36</v>
      </c>
    </row>
    <row r="19" spans="1:5" x14ac:dyDescent="0.4">
      <c r="A19" t="s">
        <v>66</v>
      </c>
      <c r="B19" s="1">
        <v>3</v>
      </c>
    </row>
    <row r="20" spans="1:5" x14ac:dyDescent="0.4">
      <c r="A20" t="s">
        <v>67</v>
      </c>
      <c r="B20" s="1">
        <v>0.8</v>
      </c>
    </row>
    <row r="21" spans="1:5" x14ac:dyDescent="0.4">
      <c r="A21" t="s">
        <v>68</v>
      </c>
      <c r="B21" s="1">
        <v>0.9</v>
      </c>
    </row>
    <row r="22" spans="1:5" x14ac:dyDescent="0.4">
      <c r="A22" t="s">
        <v>70</v>
      </c>
      <c r="B22" s="1">
        <v>8.7999999999999998E-5</v>
      </c>
      <c r="C22" t="s">
        <v>71</v>
      </c>
      <c r="D22" s="1">
        <f>B22*3600</f>
        <v>0.31679999999999997</v>
      </c>
      <c r="E22" t="s">
        <v>36</v>
      </c>
    </row>
    <row r="26" spans="1:5" x14ac:dyDescent="0.4">
      <c r="A26" t="s">
        <v>72</v>
      </c>
      <c r="B26">
        <v>40000</v>
      </c>
      <c r="C26" t="s">
        <v>6</v>
      </c>
    </row>
    <row r="27" spans="1:5" x14ac:dyDescent="0.4">
      <c r="A27" t="s">
        <v>73</v>
      </c>
      <c r="B27">
        <v>28000</v>
      </c>
    </row>
    <row r="28" spans="1:5" x14ac:dyDescent="0.4">
      <c r="A28" t="s">
        <v>74</v>
      </c>
      <c r="B28">
        <v>4514</v>
      </c>
      <c r="C28" t="s">
        <v>7</v>
      </c>
    </row>
    <row r="29" spans="1:5" x14ac:dyDescent="0.4">
      <c r="A29" t="s">
        <v>75</v>
      </c>
      <c r="B29">
        <f>B26/B27</f>
        <v>1.4285714285714286</v>
      </c>
      <c r="C29" t="s">
        <v>6</v>
      </c>
    </row>
    <row r="30" spans="1:5" x14ac:dyDescent="0.4">
      <c r="A30" t="s">
        <v>76</v>
      </c>
      <c r="B30">
        <f>B29*B27*B28</f>
        <v>180560000</v>
      </c>
      <c r="C30" t="s">
        <v>78</v>
      </c>
    </row>
    <row r="31" spans="1:5" x14ac:dyDescent="0.4">
      <c r="B31">
        <f>B30/1000/1000</f>
        <v>180.56</v>
      </c>
      <c r="C31" t="s">
        <v>79</v>
      </c>
    </row>
    <row r="32" spans="1:5" x14ac:dyDescent="0.4">
      <c r="A32" t="s">
        <v>51</v>
      </c>
      <c r="B32">
        <v>0.2525</v>
      </c>
      <c r="C32" t="s">
        <v>52</v>
      </c>
    </row>
    <row r="33" spans="1:3" x14ac:dyDescent="0.4">
      <c r="A33" t="s">
        <v>80</v>
      </c>
      <c r="B33">
        <f>B31*B32</f>
        <v>45.5914</v>
      </c>
      <c r="C33" t="s">
        <v>77</v>
      </c>
    </row>
    <row r="34" spans="1:3" x14ac:dyDescent="0.4">
      <c r="A34" t="s">
        <v>76</v>
      </c>
      <c r="B34">
        <f>B31/1000</f>
        <v>0.18056</v>
      </c>
      <c r="C34" t="s">
        <v>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0B29B-9157-40C4-8B01-1BDEE9DC4245}">
  <dimension ref="A1:N35"/>
  <sheetViews>
    <sheetView tabSelected="1" workbookViewId="0">
      <selection activeCell="I9" sqref="I9"/>
    </sheetView>
  </sheetViews>
  <sheetFormatPr defaultRowHeight="14.6" x14ac:dyDescent="0.4"/>
  <cols>
    <col min="2" max="2" width="11.84375" bestFit="1" customWidth="1"/>
  </cols>
  <sheetData>
    <row r="1" spans="1:14" x14ac:dyDescent="0.4">
      <c r="B1" t="s">
        <v>85</v>
      </c>
      <c r="E1" t="s">
        <v>89</v>
      </c>
      <c r="H1" t="s">
        <v>91</v>
      </c>
    </row>
    <row r="2" spans="1:14" x14ac:dyDescent="0.4">
      <c r="A2" t="s">
        <v>86</v>
      </c>
      <c r="B2">
        <v>1.7</v>
      </c>
      <c r="C2" t="s">
        <v>77</v>
      </c>
      <c r="E2">
        <v>6.5</v>
      </c>
      <c r="F2" t="s">
        <v>90</v>
      </c>
      <c r="H2" t="s">
        <v>92</v>
      </c>
      <c r="I2">
        <v>0.1</v>
      </c>
      <c r="J2" t="s">
        <v>6</v>
      </c>
    </row>
    <row r="3" spans="1:14" x14ac:dyDescent="0.4">
      <c r="B3">
        <f>B2/527.4</f>
        <v>3.2233598786499812E-3</v>
      </c>
      <c r="C3" t="s">
        <v>81</v>
      </c>
      <c r="E3">
        <f>E2/527.4</f>
        <v>1.2324611300720515E-2</v>
      </c>
      <c r="F3" t="s">
        <v>81</v>
      </c>
      <c r="I3">
        <f>I2*4514</f>
        <v>451.40000000000003</v>
      </c>
      <c r="J3" t="s">
        <v>78</v>
      </c>
    </row>
    <row r="4" spans="1:14" x14ac:dyDescent="0.4">
      <c r="B4">
        <f>B3/4514</f>
        <v>7.1408061113202951E-7</v>
      </c>
      <c r="C4" t="s">
        <v>87</v>
      </c>
      <c r="E4">
        <f>E3/4514</f>
        <v>2.7303082190342301E-6</v>
      </c>
      <c r="F4" t="s">
        <v>87</v>
      </c>
      <c r="I4">
        <f>I3*1000/1000</f>
        <v>451.40000000000003</v>
      </c>
      <c r="J4" t="s">
        <v>9</v>
      </c>
    </row>
    <row r="5" spans="1:14" x14ac:dyDescent="0.4">
      <c r="B5">
        <f>B4*1000000</f>
        <v>0.71408061113202947</v>
      </c>
      <c r="C5" t="s">
        <v>88</v>
      </c>
      <c r="E5">
        <f>E4*1000000</f>
        <v>2.7303082190342303</v>
      </c>
      <c r="F5" t="s">
        <v>88</v>
      </c>
    </row>
    <row r="6" spans="1:14" x14ac:dyDescent="0.4">
      <c r="B6">
        <f>B5*1000</f>
        <v>714.0806111320295</v>
      </c>
      <c r="C6" t="s">
        <v>6</v>
      </c>
      <c r="E6">
        <f>E5*1000</f>
        <v>2730.3082190342302</v>
      </c>
      <c r="F6" t="s">
        <v>6</v>
      </c>
    </row>
    <row r="8" spans="1:14" x14ac:dyDescent="0.4">
      <c r="H8" t="s">
        <v>97</v>
      </c>
      <c r="I8">
        <v>15000</v>
      </c>
      <c r="J8" t="s">
        <v>6</v>
      </c>
      <c r="K8">
        <f>I8*0.05</f>
        <v>750</v>
      </c>
      <c r="L8" t="s">
        <v>99</v>
      </c>
      <c r="M8">
        <f>K8*4514/1000000</f>
        <v>3.3855</v>
      </c>
      <c r="N8" t="s">
        <v>77</v>
      </c>
    </row>
    <row r="9" spans="1:14" x14ac:dyDescent="0.4">
      <c r="A9" t="s">
        <v>93</v>
      </c>
      <c r="B9">
        <v>0.53</v>
      </c>
      <c r="C9" t="s">
        <v>77</v>
      </c>
      <c r="E9">
        <v>2.93</v>
      </c>
      <c r="F9" t="s">
        <v>90</v>
      </c>
      <c r="H9" t="s">
        <v>72</v>
      </c>
      <c r="I9">
        <v>1000</v>
      </c>
      <c r="J9" t="s">
        <v>6</v>
      </c>
      <c r="K9">
        <f t="shared" ref="K9:K10" si="0">I9*0.05</f>
        <v>50</v>
      </c>
      <c r="L9" t="s">
        <v>99</v>
      </c>
      <c r="M9">
        <f t="shared" ref="M9:M10" si="1">K9*4514/1000000</f>
        <v>0.22570000000000001</v>
      </c>
      <c r="N9" t="s">
        <v>77</v>
      </c>
    </row>
    <row r="10" spans="1:14" x14ac:dyDescent="0.4">
      <c r="B10">
        <f>B9/527.4</f>
        <v>1.0049298445202882E-3</v>
      </c>
      <c r="C10" t="s">
        <v>81</v>
      </c>
      <c r="E10">
        <f>E9/527.4</f>
        <v>5.5555555555555558E-3</v>
      </c>
      <c r="F10" t="s">
        <v>81</v>
      </c>
      <c r="H10" t="s">
        <v>98</v>
      </c>
      <c r="I10">
        <v>700</v>
      </c>
      <c r="J10" t="s">
        <v>6</v>
      </c>
      <c r="K10">
        <f t="shared" si="0"/>
        <v>35</v>
      </c>
      <c r="L10" t="s">
        <v>99</v>
      </c>
      <c r="M10">
        <f t="shared" si="1"/>
        <v>0.15798999999999999</v>
      </c>
      <c r="N10" t="s">
        <v>77</v>
      </c>
    </row>
    <row r="11" spans="1:14" x14ac:dyDescent="0.4">
      <c r="B11">
        <f>B10/4514</f>
        <v>2.2262513170586802E-7</v>
      </c>
      <c r="C11" t="s">
        <v>87</v>
      </c>
      <c r="E11">
        <f>E10/4514</f>
        <v>1.2307389356569685E-6</v>
      </c>
      <c r="F11" t="s">
        <v>87</v>
      </c>
      <c r="M11">
        <f>SUM(M8:M10)</f>
        <v>3.76919</v>
      </c>
      <c r="N11" t="s">
        <v>77</v>
      </c>
    </row>
    <row r="12" spans="1:14" x14ac:dyDescent="0.4">
      <c r="B12">
        <f>B11*1000000</f>
        <v>0.22262513170586801</v>
      </c>
      <c r="C12" t="s">
        <v>88</v>
      </c>
      <c r="E12">
        <f>E11*1000000</f>
        <v>1.2307389356569685</v>
      </c>
      <c r="F12" t="s">
        <v>88</v>
      </c>
    </row>
    <row r="13" spans="1:14" x14ac:dyDescent="0.4">
      <c r="B13">
        <f>B12*1000</f>
        <v>222.625131705868</v>
      </c>
      <c r="C13" t="s">
        <v>6</v>
      </c>
      <c r="E13">
        <f>E12*1000</f>
        <v>1230.7389356569684</v>
      </c>
      <c r="F13" t="s">
        <v>6</v>
      </c>
    </row>
    <row r="16" spans="1:14" x14ac:dyDescent="0.4">
      <c r="A16" t="s">
        <v>94</v>
      </c>
      <c r="B16">
        <v>1.1100000000000001</v>
      </c>
      <c r="C16" t="s">
        <v>77</v>
      </c>
      <c r="E16">
        <v>3.08</v>
      </c>
      <c r="F16" t="s">
        <v>90</v>
      </c>
    </row>
    <row r="17" spans="1:6" x14ac:dyDescent="0.4">
      <c r="B17">
        <f>B16/527.4</f>
        <v>2.1046643913538114E-3</v>
      </c>
      <c r="C17" t="s">
        <v>81</v>
      </c>
      <c r="E17">
        <f>E16/527.4</f>
        <v>5.8399696624952604E-3</v>
      </c>
      <c r="F17" t="s">
        <v>81</v>
      </c>
    </row>
    <row r="18" spans="1:6" x14ac:dyDescent="0.4">
      <c r="B18">
        <f>B17/4514</f>
        <v>4.6625263432738401E-7</v>
      </c>
      <c r="C18" t="s">
        <v>87</v>
      </c>
      <c r="E18">
        <f>E17/4514</f>
        <v>1.2937460484039123E-6</v>
      </c>
      <c r="F18" t="s">
        <v>87</v>
      </c>
    </row>
    <row r="19" spans="1:6" x14ac:dyDescent="0.4">
      <c r="B19">
        <f>B18*1000000</f>
        <v>0.46625263432738401</v>
      </c>
      <c r="C19" t="s">
        <v>88</v>
      </c>
      <c r="E19">
        <f>E18*1000000</f>
        <v>1.2937460484039123</v>
      </c>
      <c r="F19" t="s">
        <v>88</v>
      </c>
    </row>
    <row r="20" spans="1:6" x14ac:dyDescent="0.4">
      <c r="B20">
        <f>B19*1000</f>
        <v>466.25263432738399</v>
      </c>
      <c r="C20" t="s">
        <v>6</v>
      </c>
      <c r="E20">
        <f>E19*1000</f>
        <v>1293.7460484039123</v>
      </c>
      <c r="F20" t="s">
        <v>6</v>
      </c>
    </row>
    <row r="22" spans="1:6" x14ac:dyDescent="0.4">
      <c r="A22" t="s">
        <v>95</v>
      </c>
      <c r="B22">
        <v>0.06</v>
      </c>
      <c r="C22" t="s">
        <v>77</v>
      </c>
      <c r="E22">
        <v>0.42799999999999999</v>
      </c>
      <c r="F22" t="s">
        <v>90</v>
      </c>
    </row>
    <row r="23" spans="1:6" x14ac:dyDescent="0.4">
      <c r="B23">
        <f>B22/527.4</f>
        <v>1.1376564277588168E-4</v>
      </c>
      <c r="C23" t="s">
        <v>81</v>
      </c>
      <c r="E23">
        <f>E22/527.4</f>
        <v>8.115282518012894E-4</v>
      </c>
      <c r="F23" t="s">
        <v>81</v>
      </c>
    </row>
    <row r="24" spans="1:6" x14ac:dyDescent="0.4">
      <c r="B24">
        <f>B23/4514</f>
        <v>2.5202845098777509E-8</v>
      </c>
      <c r="C24" t="s">
        <v>87</v>
      </c>
      <c r="E24">
        <f>E23/4514</f>
        <v>1.7978029503794625E-7</v>
      </c>
      <c r="F24" t="s">
        <v>87</v>
      </c>
    </row>
    <row r="25" spans="1:6" x14ac:dyDescent="0.4">
      <c r="B25">
        <f>B24*1000000</f>
        <v>2.5202845098777509E-2</v>
      </c>
      <c r="C25" t="s">
        <v>88</v>
      </c>
      <c r="E25">
        <f>E24*1000000</f>
        <v>0.17978029503794626</v>
      </c>
      <c r="F25" t="s">
        <v>88</v>
      </c>
    </row>
    <row r="26" spans="1:6" x14ac:dyDescent="0.4">
      <c r="B26">
        <f>B25*1000</f>
        <v>25.202845098777509</v>
      </c>
      <c r="C26" t="s">
        <v>6</v>
      </c>
      <c r="E26">
        <f>E25*1000</f>
        <v>179.78029503794627</v>
      </c>
      <c r="F26" t="s">
        <v>6</v>
      </c>
    </row>
    <row r="29" spans="1:6" x14ac:dyDescent="0.4">
      <c r="A29" t="s">
        <v>96</v>
      </c>
      <c r="B29">
        <v>5.0000000000000001E-3</v>
      </c>
      <c r="C29" t="s">
        <v>77</v>
      </c>
      <c r="E29">
        <v>1.4E-2</v>
      </c>
      <c r="F29" t="s">
        <v>90</v>
      </c>
    </row>
    <row r="30" spans="1:6" x14ac:dyDescent="0.4">
      <c r="B30">
        <f>B29/527.4</f>
        <v>9.4804702313234745E-6</v>
      </c>
      <c r="C30" t="s">
        <v>81</v>
      </c>
      <c r="E30">
        <f>E29/527.4</f>
        <v>2.6545316647705727E-5</v>
      </c>
      <c r="F30" t="s">
        <v>81</v>
      </c>
    </row>
    <row r="31" spans="1:6" x14ac:dyDescent="0.4">
      <c r="B31">
        <f>B30/4514</f>
        <v>2.1002370915647927E-9</v>
      </c>
      <c r="C31" t="s">
        <v>87</v>
      </c>
      <c r="E31">
        <f>E30/4514</f>
        <v>5.8806638563814191E-9</v>
      </c>
      <c r="F31" t="s">
        <v>87</v>
      </c>
    </row>
    <row r="32" spans="1:6" x14ac:dyDescent="0.4">
      <c r="B32">
        <f>B31*1000000</f>
        <v>2.1002370915647927E-3</v>
      </c>
      <c r="C32" t="s">
        <v>88</v>
      </c>
      <c r="E32">
        <f>E31*1000000</f>
        <v>5.8806638563814193E-3</v>
      </c>
      <c r="F32" t="s">
        <v>88</v>
      </c>
    </row>
    <row r="33" spans="2:6" x14ac:dyDescent="0.4">
      <c r="B33">
        <f>B32*1000</f>
        <v>2.1002370915647925</v>
      </c>
      <c r="C33" t="s">
        <v>6</v>
      </c>
      <c r="E33">
        <f>E32*1000</f>
        <v>5.8806638563814193</v>
      </c>
      <c r="F33" t="s">
        <v>6</v>
      </c>
    </row>
    <row r="35" spans="2:6" x14ac:dyDescent="0.4">
      <c r="B35">
        <f>B33+B26+B20+B13</f>
        <v>716.18084822359424</v>
      </c>
      <c r="E35">
        <f>E33+E26+E20+E13</f>
        <v>2710.1459429552083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7072-DE87-47E5-ADF3-DFD3B9429715}">
  <dimension ref="B2:C8"/>
  <sheetViews>
    <sheetView workbookViewId="0">
      <selection activeCell="C8" sqref="C8"/>
    </sheetView>
  </sheetViews>
  <sheetFormatPr defaultRowHeight="14.6" x14ac:dyDescent="0.4"/>
  <sheetData>
    <row r="2" spans="2:3" x14ac:dyDescent="0.4">
      <c r="B2" t="s">
        <v>31</v>
      </c>
      <c r="C2">
        <v>5.0000000000000001E-3</v>
      </c>
    </row>
    <row r="3" spans="2:3" x14ac:dyDescent="0.4">
      <c r="C3">
        <v>-2.2999999999999998</v>
      </c>
    </row>
    <row r="4" spans="2:3" x14ac:dyDescent="0.4">
      <c r="C4">
        <f>10^C3</f>
        <v>5.0118723362727212E-3</v>
      </c>
    </row>
    <row r="6" spans="2:3" x14ac:dyDescent="0.4">
      <c r="B6" t="s">
        <v>32</v>
      </c>
      <c r="C6">
        <v>293</v>
      </c>
    </row>
    <row r="7" spans="2:3" x14ac:dyDescent="0.4">
      <c r="C7">
        <v>3.3978999999999999</v>
      </c>
    </row>
    <row r="8" spans="2:3" x14ac:dyDescent="0.4">
      <c r="C8">
        <f>10^C7</f>
        <v>2499.7697021785098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4204-DA90-4CC7-9253-34A7850C4D4A}">
  <dimension ref="A2:I4"/>
  <sheetViews>
    <sheetView workbookViewId="0">
      <selection activeCell="I4" sqref="I4"/>
    </sheetView>
  </sheetViews>
  <sheetFormatPr defaultRowHeight="14.6" x14ac:dyDescent="0.4"/>
  <cols>
    <col min="9" max="9" width="11.84375" bestFit="1" customWidth="1"/>
  </cols>
  <sheetData>
    <row r="2" spans="1:9" x14ac:dyDescent="0.4">
      <c r="A2" t="s">
        <v>37</v>
      </c>
      <c r="B2">
        <v>1E-4</v>
      </c>
      <c r="C2" t="s">
        <v>35</v>
      </c>
      <c r="D2" t="s">
        <v>39</v>
      </c>
      <c r="E2">
        <v>0.04</v>
      </c>
      <c r="F2" t="s">
        <v>35</v>
      </c>
      <c r="I2">
        <f>24*365*100</f>
        <v>876000</v>
      </c>
    </row>
    <row r="3" spans="1:9" x14ac:dyDescent="0.4">
      <c r="A3" t="s">
        <v>38</v>
      </c>
      <c r="B3" s="1">
        <v>1.11E-6</v>
      </c>
      <c r="C3" t="s">
        <v>36</v>
      </c>
      <c r="I3">
        <f>1/I2</f>
        <v>1.1415525114155251E-6</v>
      </c>
    </row>
    <row r="4" spans="1:9" x14ac:dyDescent="0.4">
      <c r="B4" s="1">
        <f>B2/B3</f>
        <v>90.090090090090101</v>
      </c>
      <c r="C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O_P</vt:lpstr>
      <vt:lpstr>Michaels</vt:lpstr>
      <vt:lpstr>Masters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Elbert</dc:creator>
  <cp:lastModifiedBy>Don Elbert</cp:lastModifiedBy>
  <dcterms:created xsi:type="dcterms:W3CDTF">2025-07-04T21:45:04Z</dcterms:created>
  <dcterms:modified xsi:type="dcterms:W3CDTF">2025-08-02T14:57:54Z</dcterms:modified>
</cp:coreProperties>
</file>