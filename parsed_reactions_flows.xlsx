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ber\Documents\git\JSON2SBML\"/>
    </mc:Choice>
  </mc:AlternateContent>
  <xr:revisionPtr revIDLastSave="0" documentId="13_ncr:1_{C597D0A2-A9EE-441F-9712-67E2518AF9B1}" xr6:coauthVersionLast="47" xr6:coauthVersionMax="47" xr10:uidLastSave="{00000000-0000-0000-0000-000000000000}"/>
  <bookViews>
    <workbookView xWindow="-86" yWindow="0" windowWidth="16629" windowHeight="17880" activeTab="4" xr2:uid="{EEC56858-B8A2-471C-8CCB-F4609CE65C47}"/>
  </bookViews>
  <sheets>
    <sheet name="Sheet1" sheetId="1" r:id="rId1"/>
    <sheet name="CLup" sheetId="4" r:id="rId2"/>
    <sheet name="central" sheetId="5" r:id="rId3"/>
    <sheet name="PVS" sheetId="6" r:id="rId4"/>
    <sheet name="Unused" sheetId="7" r:id="rId5"/>
    <sheet name="Sheet3" sheetId="3" r:id="rId6"/>
    <sheet name="Sheet2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7" l="1"/>
  <c r="A155" i="4"/>
</calcChain>
</file>

<file path=xl/sharedStrings.xml><?xml version="1.0" encoding="utf-8"?>
<sst xmlns="http://schemas.openxmlformats.org/spreadsheetml/2006/main" count="1164" uniqueCount="259">
  <si>
    <t>AB40_monomer_Antibody_bound</t>
  </si>
  <si>
    <t>+</t>
  </si>
  <si>
    <t>(1 - Sigma_v_isf) * Qbrain_ISF_AB40Mb * AB40Mb_Brain_Plasma / Vol_brain_interstitial</t>
  </si>
  <si>
    <t>Qbrain_ISF_AB40Mb * AB40Mb_CSF_SAS / Vol_brain_interstitial</t>
  </si>
  <si>
    <t>-</t>
  </si>
  <si>
    <t>((1 - f_LV) * Qbrain_ISF_AB40Mb * AB40_monomer_Antibody_bound / Vol_brain_interstitial)</t>
  </si>
  <si>
    <t>((1 - Sigma_ISF_lymph) * Qbrain_ISF_AB40Mb * AB40_monomer_Antibody_bound / Vol_brain_interstitial)</t>
  </si>
  <si>
    <t>(f_LV * Qbrain_ISF_AB40Mb * AB40_monomer_Antibody_bound / Vol_brain_interstitial)</t>
  </si>
  <si>
    <t>AB40_Monomer</t>
  </si>
  <si>
    <t>(CL_up_brain_AB40Mu * fBBB * Vol_brain_ES * AB40_Monomer / Vol_brain_interstitial)</t>
  </si>
  <si>
    <t>Qbrain_ISF_AB40Mu * AB40Mu_CSF_SAS / Vol_brain_interstitial</t>
  </si>
  <si>
    <t>(f_LV * Qbrain_ISF_AB40Mu * AB40_Monomer / Vol_brain_interstitial)</t>
  </si>
  <si>
    <t>Kin_Ab40_Potter * C99</t>
  </si>
  <si>
    <t>((1 - sigma_ISF_ABeta40_monomer) * Q_PVS * AB40_Monomer / vol_brain_ISF)</t>
  </si>
  <si>
    <t>(IDE_conc * AB40_IDE_Kcat_lin * ((AB40_Monomer * Unit_removal_1)^AB40_IDE_Hill / ((AB40_Monomer * Unit_removal_1)^AB40_IDE_Hill + AB40_IDE_IC50^AB40_IDE_Hill)))</t>
  </si>
  <si>
    <t>(1 - Sigma_v_isf_AB40Mu) * Qbrain_ISF_AB40Mu * AB40Mu_Brain_Plasma / Vol_brain_interstitial</t>
  </si>
  <si>
    <t>((1 - f_LV) * Qbrain_ISF_AB40Mu * AB40_Monomer / Vol_brain_interstitial)</t>
  </si>
  <si>
    <t>((1 - Sigma_ISF_lymph_AB40Mu) * Qbrain_ISF_AB40Mu * AB40_Monomer / Vol_brain_interstitial)</t>
  </si>
  <si>
    <t>ISF</t>
  </si>
  <si>
    <t>lymph</t>
  </si>
  <si>
    <t xml:space="preserve">ISF </t>
  </si>
  <si>
    <t>TFV</t>
  </si>
  <si>
    <t>BP</t>
  </si>
  <si>
    <t>PVS</t>
  </si>
  <si>
    <t>LV</t>
  </si>
  <si>
    <t>CSFSAS</t>
  </si>
  <si>
    <t>Antibody_unbound_ISF</t>
  </si>
  <si>
    <t>CL_up_brain * fBBB * Vol_brain_ES * (1 - FR) * PK_Blood_Brain_Barrier_bound / Vol_brain_interstitial</t>
  </si>
  <si>
    <t>(CL_up_brain * fBBB * Vol_brain_ES * Antibody_unbound_ISF / Vol_brain_interstitial)</t>
  </si>
  <si>
    <t>((1 - sigma_ISF) * Q_PVS * Antibody_unbound_ISF / vol_brain_ISF)</t>
  </si>
  <si>
    <t>(1 - Sigma_v_isf) * Qbrain_ISF * PK_Brain_Plasma / Vol_brain_interstitial</t>
  </si>
  <si>
    <t>(1 - CSF_fraction) * Qbrain_ISF * PK_CSF_SAS / Vol_brain_interstitial</t>
  </si>
  <si>
    <t>((1 - f_LV) * Qbrain_ISF * Antibody_unbound_ISF / Vol_brain_interstitial)</t>
  </si>
  <si>
    <t>((1 - Sigma_ISF_lymph) * (Qbrain_ISF - Q_PVS) * Antibody_unbound_ISF / Vol_brain_interstitial)</t>
  </si>
  <si>
    <t>(f_LV * Qbrain_ISF * Antibody_unbound_ISF / Vol_brain_interstitial)</t>
  </si>
  <si>
    <t>PS_Ab_ISF_PVS * C_Antibody_unbound_PVS / vol_brain_ISF * Pe / (exp(Pe) - 1)</t>
  </si>
  <si>
    <t>(PS_Ab_ISF_PVS * Antibody_unbound_ISF / vol_brain_ISF * Pe / (exp(Pe) - 1))</t>
  </si>
  <si>
    <t>Pe</t>
  </si>
  <si>
    <t>C_Antibody_unbound_PVS</t>
  </si>
  <si>
    <t>(1 - sigma_ISF) * Q_PVS * Antibody_unbound_ISF / V_PVS</t>
  </si>
  <si>
    <t>((1 - sigma_PVS) * (Q_PVS + CSF_fraction * Qbrain_ISFpsv) * C_Antibody_unbound_PVS / V_PVS)</t>
  </si>
  <si>
    <t>PS_Ab_ISF_PVS * Antibody_unbound_ISF / V_PVS * Pe / (exp(Pe) - 1)</t>
  </si>
  <si>
    <t>(PS_Ab_ISF_PVS * C_Antibody_unbound_PVS / V_PVS * Pe / (exp(Pe) - 1))</t>
  </si>
  <si>
    <t>CSF_fraction * Qbrain_ISFpsv * PK_CSF_SAS / V_PVS</t>
  </si>
  <si>
    <t>FcRn_free_BBB</t>
  </si>
  <si>
    <t>CL_up_brain * fBBB * Vol_brain_ES * (1 - FR) * AB40Mb_Blood_Brain_Barrier_bound / Vol_brain_BBB</t>
  </si>
  <si>
    <t>CL_up_brain * fBBB * Vol_brain_ES * FR * AB40Mb_Blood_Brain_Barrier_bound / Vol_brain_BBB</t>
  </si>
  <si>
    <t>(kon_FcRn * AB40Mb_Blood_Brain_Barrier_unbound * FcRn_free_BBB)</t>
  </si>
  <si>
    <t>koff_FcRn * AB40Mb_Blood_Brain_Barrier_bound</t>
  </si>
  <si>
    <t>CL_up_brain * fBBB * Vol_brain_ES * (1 - FR) * AB42Mb_Blood_Brain_Barrier_bound / Vol_brain_BBB</t>
  </si>
  <si>
    <t>CL_up_brain * fBBB * Vol_brain_ES * FR * AB42Mb_Blood_Brain_Barrier_bound / Vol_brain_BBB</t>
  </si>
  <si>
    <t>(kon_FcRn * AB42Mb_Blood_Brain_Barrier_unbound * FcRn_free_BBB)</t>
  </si>
  <si>
    <t>koff_FcRn * AB42Mb_Blood_Brain_Barrier_bound</t>
  </si>
  <si>
    <t>CL_up_brain * fBBB * Vol_brain_ES * (1 - FR) * PK_Blood_Brain_Barrier_bound / Vol_brain_BBB</t>
  </si>
  <si>
    <t>CL_up_brain * fBBB * Vol_brain_ES * FR * PK_Blood_Brain_Barrier_bound / Vol_brain_BBB</t>
  </si>
  <si>
    <t>(kon_FcRn * PK_Blood_Brain_Barrier_unbound * FcRn_free_BBB)</t>
  </si>
  <si>
    <t>koff_FcRn * PK_Blood_Brain_Barrier_bound</t>
  </si>
  <si>
    <t>FcRn_free_BcsfB</t>
  </si>
  <si>
    <t>CL_up_brain * (1 - fBBB) * Vol_brain_ES * FR * AB40Mb_Blood_CSF_Barrier_bound / Vol_brain_BCSFB</t>
  </si>
  <si>
    <t>f_LV * CL_up_brain * (1 - fBBB) * Vol_brain_ES * (1 - FR) * AB40Mb_Blood_CSF_Barrier_bound / Vol_brain_BCSFB</t>
  </si>
  <si>
    <t>(1 - f_LV) * CL_up_brain * (1 - fBBB) * Vol_brain_ES * (1 - FR) * AB40Mb_Blood_CSF_Barrier_bound / Vol_brain_BCSFB</t>
  </si>
  <si>
    <t>(kon_FcRn * AB40Mb_Blood_CSF_Barrier_unbound * FcRn_free_BcsfB)</t>
  </si>
  <si>
    <t>koff_FcRn * AB40Mb_Blood_CSF_Barrier_bound</t>
  </si>
  <si>
    <t>CL_up_brain * (1 - fBBB) * Vol_brain_ES * FR * AB42Mb_Blood_CSF_Barrier_bound / Vol_brain_BCSFB</t>
  </si>
  <si>
    <t>f_LV * CL_up_brain * (1 - fBBB) * Vol_brain_ES * (1 - FR) * AB42Mb_Blood_CSF_Barrier_bound / Vol_brain_BCSFB</t>
  </si>
  <si>
    <t>(1 - f_LV) * CL_up_brain * (1 - fBBB) * Vol_brain_ES * (1 - FR) * AB42Mb_Blood_CSF_Barrier_bound / Vol_brain_BCSFB</t>
  </si>
  <si>
    <t>(kon_FcRn * AB42Mb_Blood_CSF_Barrier_unbound * FcRn_free_BcsfB)</t>
  </si>
  <si>
    <t>koff_FcRn * AB42Mb_Blood_CSF_Barrier_bound</t>
  </si>
  <si>
    <t>CL_up_brain * (1 - fBBB) * Vol_brain_ES * FR * PK_Blood_CSF_Barrier_bound / Vol_brain_BCSFB</t>
  </si>
  <si>
    <t>f_LV * CL_up_brain * (1 - fBBB) * Vol_brain_ES * (1 - FR) * PK_Blood_CSF_Barrier_bound / Vol_brain_BCSFB</t>
  </si>
  <si>
    <t>(1 - f_LV) * CL_up_brain * (1 - fBBB) * Vol_brain_ES * (1 - FR) * PK_Blood_CSF_Barrier_bound / Vol_brain_BCSFB</t>
  </si>
  <si>
    <t>(kon_FcRn * PK_Blood_CSF_Barrier_unbound * FcRn_free_BcsfB)</t>
  </si>
  <si>
    <t>koff_FcRn * PK_Blood_CSF_Barrier_bound</t>
  </si>
  <si>
    <t>PK_Blood_Brain_Barrier_unbound</t>
  </si>
  <si>
    <t>CL_up_brain * fBBB * Vol_brain_ES * PK_Brain_Plasma / Vol_brain_BBB</t>
  </si>
  <si>
    <t>CL_up_brain * fBBB * Vol_brain_ES * Antibody_unbound_ISF / Vol_brain_BBB</t>
  </si>
  <si>
    <t>PK_Blood_Brain_Barrier_bound</t>
  </si>
  <si>
    <t>(CL_up_brain * fBBB * Vol_brain_ES * (1 - FR) * PK_Blood_Brain_Barrier_bound / Vol_brain_BBB)</t>
  </si>
  <si>
    <t>(CL_up_brain * fBBB * Vol_brain_ES * FR * PK_Blood_Brain_Barrier_bound / Vol_brain_BBB)</t>
  </si>
  <si>
    <t>PK_Blood_CSF_Barrier_unbound</t>
  </si>
  <si>
    <t>CL_up_brain * FBcsfB * Vol_brain_ES * PK_Brain_Plasma / Vol_brain_BCSFB</t>
  </si>
  <si>
    <t>(1 - f_LV) * CL_up_brain * (1 - fBBB) * Vol_brain_ES * PK_CSF_TFV / Vol_brain_BCSFB</t>
  </si>
  <si>
    <t>f_LV * CL_up_brain * (1 - fBBB) * Vol_brain_ES * PK_CSF_LV / Vol_brain_BCSFB</t>
  </si>
  <si>
    <t>PK_Brain_Plasma</t>
  </si>
  <si>
    <t>CL_up_brain * fBBB * Vol_brain_ES * FR * PK_Blood_Brain_Barrier_bound / Vol_brain_plasma</t>
  </si>
  <si>
    <t>CL_up_brain * (1 - fBBB) * Vol_brain_ES * FR * PK_Blood_CSF_Barrier_bound / Vol_brain_plasma</t>
  </si>
  <si>
    <t>(CL_up_brain * Vol_brain_ES * PK_Brain_Plasma / Vol_brain_plasma)</t>
  </si>
  <si>
    <t>Qbrain_plasma * (PK_central_compartment / PK_Vcent) / Vol_brain_plasma</t>
  </si>
  <si>
    <t>((Qbrain_plasma - Qlymph_Brain) * PK_Brain_Plasma / Vol_brain_plasma)</t>
  </si>
  <si>
    <t>((1 - Sigma_v_bcsfb) * Qbrain_CSF * PK_Brain_Plasma / Vol_brain_plasma)</t>
  </si>
  <si>
    <t>((1 - Sigma_v_isf) * Qbrain_ISF * PK_Brain_Plasma / Vol_brain_plasma)</t>
  </si>
  <si>
    <t>central</t>
  </si>
  <si>
    <t>BCSFB</t>
  </si>
  <si>
    <t>PK_central_compartment</t>
  </si>
  <si>
    <t>(1 - Sigma_CSFSAS_Lymph) * Qbrain_CSF * PK_CSF_SAS</t>
  </si>
  <si>
    <t>(1 - sigma_PVS) * (Q_PVS + CSF_fraction * Qbrain_ISFpsv) * C_Antibody_unbound_PVS</t>
  </si>
  <si>
    <t>(Qbrain_plasma - Qlymph_Brain) * PK_Brain_Plasma</t>
  </si>
  <si>
    <t>(1 - Sigma_ISF_lymph) * (Qbrain_ISF - Q_PVS) * Antibody_unbound_ISF</t>
  </si>
  <si>
    <t>(Qbrain_plasma * PK_central_compartment / PK_Vcent)</t>
  </si>
  <si>
    <t>(PK_CLd2 * PK_central_compartment / PK_Vcent)</t>
  </si>
  <si>
    <t>PK_CLd2 * PK_peripheral_compartment / PK_Vper</t>
  </si>
  <si>
    <t>(PK_CL / PK_Vcent * PK_central_compartment)</t>
  </si>
  <si>
    <t>cenntral</t>
  </si>
  <si>
    <t>peripheral</t>
  </si>
  <si>
    <t>peripheral2</t>
  </si>
  <si>
    <t>PK_CSF_CM</t>
  </si>
  <si>
    <t>(Qbrain_CSF + Qbrain_ISF) * PK_CSF_TFV / Vol_brain_CSFCM</t>
  </si>
  <si>
    <t>((Qbrain_CSF + Qbrain_ISF) * PK_CSF_CM / Vol_brain_CSFCM)</t>
  </si>
  <si>
    <t>PK_CSF_LV</t>
  </si>
  <si>
    <t>f_LV * CL_up_brain * (1 - fBBB) * Vol_brain_ES * (1 - FR) * PK_Blood_CSF_Barrier_bound / Vol_brain_CSFLV</t>
  </si>
  <si>
    <t>(f_LV * CL_up_brain * (1 - fBBB) * Vol_brain_ES * PK_CSF_LV / Vol_brain_CSFLV)</t>
  </si>
  <si>
    <t>(f_LV * (Qbrain_CSF + Qbrain_ISF) * PK_CSF_LV / Vol_brain_CSFLV)</t>
  </si>
  <si>
    <t>f_LV * Qbrain_ISF * Antibody_unbound_ISF / Vol_brain_CSFLV</t>
  </si>
  <si>
    <t>(1 - Sigma_v_bcsfb) * Qbrain_CSF * f_LV * PK_Brain_Plasma / Vol_brain_CSFLV</t>
  </si>
  <si>
    <t>??</t>
  </si>
  <si>
    <t>PK_CSF_SAS</t>
  </si>
  <si>
    <t>(Qbrain_CSF + Qbrain_ISF) * PK_CSF_CM / Vol_brain_CSFSAS</t>
  </si>
  <si>
    <t>((1 - Sigma_CSFSAS_Lymph) * Qbrain_CSF * PK_CSF_SAS / Vol_brain_CSFSAS)</t>
  </si>
  <si>
    <t>((1 - CSF_fraction) * Qbrain_ISF * PK_CSF_SAS / Vol_brain_CSFSAS)</t>
  </si>
  <si>
    <t>(CSF_fraction * Qbrain_ISFpsv * PK_CSF_SAS / Vol_brain_CSFSAS)</t>
  </si>
  <si>
    <t>CM</t>
  </si>
  <si>
    <t>ISF?</t>
  </si>
  <si>
    <t>?</t>
  </si>
  <si>
    <t>PK_CSF_TFV</t>
  </si>
  <si>
    <t>(1 - f_LV) * CL_up_brain * (1 - fBBB) * Vol_brain_ES * (1 - FR) * PK_Blood_CSF_Barrier_bound / Vol_brain_CSFTFV</t>
  </si>
  <si>
    <t>((1 - f_LV) * CL_up_brain * (1 - fBBB) * Vol_brain_ES * PK_CSF_TFV / Vol_brain_CSFTFV)</t>
  </si>
  <si>
    <t>f_LV * (Qbrain_CSF + Qbrain_ISF) * PK_CSF_LV / Vol_brain_CSFTFV</t>
  </si>
  <si>
    <t>((Qbrain_CSF + Qbrain_ISF) * PK_CSF_TFV / Vol_brain_CSFTFV)</t>
  </si>
  <si>
    <t>(1 - f_LV) * Qbrain_ISF * Antibody_unbound_ISF / Vol_brain_CSFTFV</t>
  </si>
  <si>
    <t>(1 - Sigma_v_bcsfb) * Qbrain_CSF * (1 - f_LV) * PK_Brain_Plasma / Vol_brain_CSFTFV</t>
  </si>
  <si>
    <t>PK_peripheral_compartment</t>
  </si>
  <si>
    <t>PK_CLd2 * PK_central_compartment / PK_Vcent</t>
  </si>
  <si>
    <t>(PK_CLd2 * PK_peripheral_compartment / PK_Vper)</t>
  </si>
  <si>
    <t>Abeta42_plaque_bound_PVS</t>
  </si>
  <si>
    <t>(CL_abeta42_plaque_bound_PVS * Abeta42_plaque_bound_PVS)</t>
  </si>
  <si>
    <t>BBB</t>
  </si>
  <si>
    <t>Clup</t>
  </si>
  <si>
    <t>monomer</t>
  </si>
  <si>
    <t>CL_up_brain * fBBB * Vol_brain_ES * (1 - FR) * AB40Mb_Blood_Brain_Barrier_bound / Vol_brain_interstitial</t>
  </si>
  <si>
    <t>(CL_up_brain * fBBB * Vol_brain_ES * AB40_monomer_Antibody_bound / Vol_brain_interstitial)</t>
  </si>
  <si>
    <t>AB40Mb_Blood_Brain_Barrier_bound</t>
  </si>
  <si>
    <t>(CL_up_brain * fBBB * Vol_brain_ES * (1 - FR) * AB40Mb_Blood_Brain_Barrier_bound / Vol_brain_BBB)</t>
  </si>
  <si>
    <t>(CL_up_brain * fBBB * Vol_brain_ES * FR * AB40Mb_Blood_Brain_Barrier_bound / Vol_brain_BBB)</t>
  </si>
  <si>
    <t>AB40Mb_Blood_Brain_Barrier_unbound</t>
  </si>
  <si>
    <t>CL_up_brain * fBBB * Vol_brain_ES * AB40Mb_Brain_Plasma / Vol_brain_BBB</t>
  </si>
  <si>
    <t>CL_up_brain * fBBB * Vol_brain_ES * AB40_monomer_Antibody_bound / Vol_brain_BBB</t>
  </si>
  <si>
    <t>AB40Mb_Blood_CSF_Barrier_bound</t>
  </si>
  <si>
    <t>(CL_up_brain * (1 - fBBB) * Vol_brain_ES * FR * AB40Mb_Blood_CSF_Barrier_bound / Vol_brain_BCSFB)</t>
  </si>
  <si>
    <t>(f_LV * CL_up_brain * (1 - fBBB) * Vol_brain_ES * (1 - FR) * AB40Mb_Blood_CSF_Barrier_bound / Vol_brain_BCSFB)</t>
  </si>
  <si>
    <t>((1 - f_LV) * CL_up_brain * (1 - fBBB) * Vol_brain_ES * (1 - FR) * AB40Mb_Blood_CSF_Barrier_bound / Vol_brain_BCSFB)</t>
  </si>
  <si>
    <t>AB40Mb_Blood_CSF_Barrier_unbound</t>
  </si>
  <si>
    <t>CL_up_brain * FBcsfB * Vol_brain_ES * AB40Mb_Brain_Plasma / Vol_brain_BCSFB</t>
  </si>
  <si>
    <t>(1 - f_LV) * CL_up_brain * (1 - fBBB) * Vol_brain_ES * AB40Mb_CSF_TFV / Vol_brain_BCSFB</t>
  </si>
  <si>
    <t>f_LV * CL_up_brain * (1 - fBBB) * Vol_brain_ES * AB40Mb_CSF_LV / Vol_brain_BCSFB</t>
  </si>
  <si>
    <t>AB40Mb_Brain_Plasma</t>
  </si>
  <si>
    <t>CL_up_brain * fBBB * Vol_brain_ES * FR * AB40Mb_Blood_Brain_Barrier_bound / Vol_brain_plasma</t>
  </si>
  <si>
    <t>CL_up_brain * (1 - fBBB) * Vol_brain_ES * FR * AB40Mb_Blood_CSF_Barrier_bound / Vol_brain_plasma</t>
  </si>
  <si>
    <t>(CL_up_brain * Vol_brain_ES * AB40Mb_Brain_Plasma / Vol_brain_plasma)</t>
  </si>
  <si>
    <t>AB40Mb_CSF_LV</t>
  </si>
  <si>
    <t>f_LV * CL_up_brain * (1 - fBBB) * Vol_brain_ES * (1 - FR) * AB40Mb_Blood_CSF_Barrier_bound / Vol_brain_CSFLV</t>
  </si>
  <si>
    <t>(f_LV * CL_up_brain * (1 - fBBB) * Vol_brain_ES * AB40Mb_CSF_LV / Vol_brain_CSFLV)</t>
  </si>
  <si>
    <t>AB40Mb_CSF_TFV</t>
  </si>
  <si>
    <t>(1 - f_LV) * CL_up_brain * (1 - fBBB) * Vol_brain_ES * (1 - FR) * AB40Mb_Blood_CSF_Barrier_bound / Vol_brain_CSFTFV</t>
  </si>
  <si>
    <t>((1 - f_LV) * CL_up_brain * (1 - fBBB) * Vol_brain_ES * AB40Mb_CSF_TFV / Vol_brain_CSFTFV)</t>
  </si>
  <si>
    <t>AB40Mu_Blood_Brain_Barrier</t>
  </si>
  <si>
    <t>CL_up_brain_AB40Mu * fBBB * Vol_brain_ES * AB40_Monomer / Vol_brain_BBB</t>
  </si>
  <si>
    <t>CL_up_brain_AB40Mu * fBBB * Vol_brain_ES * AB40Mu_Brain_Plasma / Vol_brain_BBB</t>
  </si>
  <si>
    <t>AB40Mu_Blood_CSF_Barrier</t>
  </si>
  <si>
    <t>CL_up_brain_AB40Mu * FBcsfB * Vol_brain_ES * AB40Mu_Brain_Plasma / Vol_brain_BCSFB</t>
  </si>
  <si>
    <t>f_LV * CL_up_brain_AB40Mu * (1 - fBBB) * Vol_brain_ES * AB40Mu_CSF_LV / Vol_brain_BCSFB</t>
  </si>
  <si>
    <t>(1 - f_LV) * CL_up_brain_AB40Mu * (1 - fBBB) * Vol_brain_ES * AB40Mu_CSF_TFV / Vol_brain_BCSFB</t>
  </si>
  <si>
    <t>AB40Mu_Brain_Plasma</t>
  </si>
  <si>
    <t>(CL_up_brain_AB40Mu * Vol_brain_ES * AB40Mu_Brain_Plasma / Vol_brain_plasma)</t>
  </si>
  <si>
    <t>AB40Mu_CSF_LV</t>
  </si>
  <si>
    <t>(f_LV * CL_up_brain_AB40Mu * (1 - fBBB) * Vol_brain_ES * AB40Mu_CSF_LV / Vol_brain_CSFLV)</t>
  </si>
  <si>
    <t>AB40Mu_CSF_TFV</t>
  </si>
  <si>
    <t>((1 - f_LV) * CL_up_brain * (1 - fBBB) * Vol_brain_ES * AB40Mu_CSF_TFV / Vol_brain_CSFTFV)</t>
  </si>
  <si>
    <t>AB42_monomer_Antibody_bound</t>
  </si>
  <si>
    <t>CL_up_brain * fBBB * Vol_brain_ES * (1 - FR) * AB42Mb_Blood_Brain_Barrier_bound / Vol_brain_interstitial</t>
  </si>
  <si>
    <t>(CL_up_brain * fBBB * Vol_brain_ES * AB42_monomer_Antibody_bound / Vol_brain_interstitial)</t>
  </si>
  <si>
    <t>AB42_Monomer</t>
  </si>
  <si>
    <t>(CL_up_brain_AB42Mu * fBBB * Vol_brain_ES * AB42_Monomer / Vol_brain_interstitial)</t>
  </si>
  <si>
    <t>AB42Mb_Blood_Brain_Barrier_bound</t>
  </si>
  <si>
    <t>(CL_up_brain * fBBB * Vol_brain_ES * (1 - FR) * AB42Mb_Blood_Brain_Barrier_bound / Vol_brain_BBB)</t>
  </si>
  <si>
    <t>(CL_up_brain * fBBB * Vol_brain_ES * FR * AB42Mb_Blood_Brain_Barrier_bound / Vol_brain_BBB)</t>
  </si>
  <si>
    <t>PK_Blood_CSF_Barrier_bound</t>
  </si>
  <si>
    <t>(CL_up_brain * (1 - fBBB) * Vol_brain_ES * FR * PK_Blood_CSF_Barrier_bound / Vol_brain_BCSFB)</t>
  </si>
  <si>
    <t>(f_LV * CL_up_brain * (1 - fBBB) * Vol_brain_ES * (1 - FR) * PK_Blood_CSF_Barrier_bound / Vol_brain_BCSFB)</t>
  </si>
  <si>
    <t>((1 - f_LV) * CL_up_brain * (1 - fBBB) * Vol_brain_ES * (1 - FR) * PK_Blood_CSF_Barrier_bound / Vol_brain_BCSFB)</t>
  </si>
  <si>
    <t>etc</t>
  </si>
  <si>
    <t>BBB-ISF</t>
  </si>
  <si>
    <t>ISF-BBB</t>
  </si>
  <si>
    <t>BBB-BP</t>
  </si>
  <si>
    <t>BP-BBB</t>
  </si>
  <si>
    <t>BCSFB-BP</t>
  </si>
  <si>
    <t>BCSFB-LV</t>
  </si>
  <si>
    <t>BCSFB-TFV</t>
  </si>
  <si>
    <t>TFV-BCSFB</t>
  </si>
  <si>
    <t>LV-BCSFB</t>
  </si>
  <si>
    <t>BP-BCSFB</t>
  </si>
  <si>
    <t>BP-?</t>
  </si>
  <si>
    <t>BBB-?</t>
  </si>
  <si>
    <t>BCSFB-?</t>
  </si>
  <si>
    <t>BP-BBB+BCSFB</t>
  </si>
  <si>
    <t>Fcrn</t>
  </si>
  <si>
    <t>M</t>
  </si>
  <si>
    <t>nM</t>
  </si>
  <si>
    <t>(fta0 * (AB40Mu_central_compartment / AB40Mu_Vcent) * (PK_central_compartment / PK_Vcent) * PK_Vcent)</t>
  </si>
  <si>
    <t>(fta0 * (AB42Mu_central_compartment / AB42Mu_Vcent) * (PK_central_compartment / PK_Vcent) * PK_Vcent)</t>
  </si>
  <si>
    <t>PK_SC_ka * PK_SC_bio * SubCut_absorption_compartment</t>
  </si>
  <si>
    <t>AB42Mu_central_compartment</t>
  </si>
  <si>
    <t>AB42Mu_systemic_synthesis_rate</t>
  </si>
  <si>
    <t>(fta0 * (AB42Mu_central_compartment / AB42Mu_Vcent) * (PK_central_compartment / PK_Vcent) * AB40Mu_Vcent)</t>
  </si>
  <si>
    <t>(1 - Sigma_CSFSAS_Lymph_AB42Mu) * Qbrain_CSF_AB42Mu * AB42Mu_CSF_SAS</t>
  </si>
  <si>
    <t>(AB42Mu_CLd2 * AB42Mu_central_compartment / AB42Mu_Vcent)</t>
  </si>
  <si>
    <t>AB42Mu_CLd2 * AB42Mu_peripheral_compartment / AB42Mu_Vper</t>
  </si>
  <si>
    <t>(AB42Mu_CL / AB42Mu_Vcent * AB42Mu_central_compartment)</t>
  </si>
  <si>
    <t>(Qbrain_plasma - Qlymph_Brain) * AB42Mu_Brain_Plasma</t>
  </si>
  <si>
    <t>(Qbrain_plasma * AB42Mu_central_compartment / AB42Mu_Vcent)</t>
  </si>
  <si>
    <t>(1 - sigma_PVS_ABeta42) * Q_PVS * AB42_Monomer_PVS</t>
  </si>
  <si>
    <t>(1 - Sigma_ISF_lymph_AB42Mu) * Qbrain_ISF_AB42Mu * AB42_Monomer</t>
  </si>
  <si>
    <t>AB40Mb_central_compartment</t>
  </si>
  <si>
    <t>(1 - Sigma_CSFSAS_Lymph) * Qbrain_CSF_AB40Mb * AB40Mb_CSF_SAS</t>
  </si>
  <si>
    <t>(PK_CLd2 * AB40Mb_central_compartment / PK_Vcent)</t>
  </si>
  <si>
    <t>PK_CLd2 * AB40Mb_peripheral_compartment / PK_Vper</t>
  </si>
  <si>
    <t>(PK_CL / PK_Vcent * AB40Mb_central_compartment)</t>
  </si>
  <si>
    <t>(Qbrain_plasma - Qlymph_Brain) * AB40Mb_Brain_Plasma</t>
  </si>
  <si>
    <t>(Qbrain_plasma * AB40Mb_central_compartment / PK_Vcent)</t>
  </si>
  <si>
    <t>fta0 * (AB40Mu_central_compartment / AB40Mu_Vcent) * (PK_central_compartment / PK_Vcent) * PK_Vcent</t>
  </si>
  <si>
    <t>(1 - sigma_PVS_ABeta40_bound) * Q_PVS * AB40_Monomer_PVS_bound</t>
  </si>
  <si>
    <t>(1 - Sigma_ISF_lymph) * Qbrain_ISF_AB40Mb * AB40_monomer_Antibody_bound</t>
  </si>
  <si>
    <t>Qbrain_plasma * (AB40Mu_central_compartment / AB40Mu_Vcent) / Vol_brain_plasma</t>
  </si>
  <si>
    <t>((Qbrain_plasma - Qlymph_Brain) * AB40Mu_Brain_Plasma / Vol_brain_plasma)</t>
  </si>
  <si>
    <t>central is amount</t>
  </si>
  <si>
    <t>peripheral is ?</t>
  </si>
  <si>
    <t>Brain_plasma is concentration</t>
  </si>
  <si>
    <t>((1 - Sigma_v_isf_AB40Mu) * Qbrain_ISF_AB40Mu * AB40Mu_Brain_Plasma / Vol_brain_plasma)</t>
  </si>
  <si>
    <t>Abeta40_plaque_bound_PVS</t>
  </si>
  <si>
    <t>fta3 * C_Antibody_unbound_PVS * Abeta40_plaque_unbound_PVS</t>
  </si>
  <si>
    <t>(CL_Abeta40_plaque_bound_PVS * Abeta40_plaque_bound_PVS)</t>
  </si>
  <si>
    <t>Abeta40_plaque_unbound_PVS</t>
  </si>
  <si>
    <t>(fta3 * C_Antibody_unbound_PVS * Abeta40_plaque_unbound_PVS)</t>
  </si>
  <si>
    <t>(CL_Abeta40_plaque_free_PVS * Abeta40_plaque_unbound_PVS)</t>
  </si>
  <si>
    <t>fta3 * C_Antibody_unbound_PVS * Abeta42_plaque_unbound_PVS</t>
  </si>
  <si>
    <t>Abeta42_plaque_unbound_PVS</t>
  </si>
  <si>
    <t>(fta3 * C_Antibody_unbound_PVS * Abeta42_plaque_unbound_PVS)</t>
  </si>
  <si>
    <t>(CL_abeta42_plaque_free_PVS * Abeta42_plaque_unbound_PVS)</t>
  </si>
  <si>
    <t>Antibody_ISF_to_PVS_bulk_flow: Ab_t =&gt; C_Antibody_unbound_PVS; (1 - sigma_ISF)*Q_PVS*Ab_t;</t>
  </si>
  <si>
    <t xml:space="preserve">  Antibody_PVS_to_central: C_Antibody_unbound_PVS =&gt; PK_central; (1 - sigma_PVS)*(Q_PVS + CSF_fraction*Qbrain_ISFpsv)*C_Antibody_unbound_PVS;</t>
  </si>
  <si>
    <t xml:space="preserve">  Antibody_ISF_to_PVS_diffusion: Ab_t =&gt; C_Antibody_unbound_PVS; PS_Ab_ISF_PVS*Ab_t*Pe/(exp(Pe) - 1);</t>
  </si>
  <si>
    <t xml:space="preserve">  Antibody_PVS_to_ISF_diffusion: C_Antibody_unbound_PVS =&gt; Ab_t; PS_Ab_ISF_PVS*C_Antibody_unbound_PVS*Pe/(exp(Pe) - 1);</t>
  </si>
  <si>
    <t xml:space="preserve">  AB40_Plaque_bound_clearance: AB40_Plaque_bound_PVS =&gt; $Sink_AB40_Plaque_bound_PVS; CL_AB40_plaque_bound_PVS*AB40_Plaque_bound_PVS;</t>
  </si>
  <si>
    <t xml:space="preserve">  AB40_Plaque_unbound_clearance: AB40_Plaque_unbound_PVS =&gt; $Sink_AB40_Plaque_unbound_PVS; CL_AB40_plaque_free_PVS*AB40_Plaque_unbound_PVS;</t>
  </si>
  <si>
    <t xml:space="preserve">  AB42_Plaque_bound_clearance: AB42_Plaque_bound_PVS =&gt; $Sink_AB42_Plaque_bound_PVS; CL_AB42_plaque_bound_PVS*AB42_Plaque_bound_PVS;</t>
  </si>
  <si>
    <t xml:space="preserve">  AB42_Plaque_unbound_clearance: AB42_Plaque_unbound_PVS =&gt; $Sink_AB42_Plaque_unbound_PVS; CL_AB42_plaque_free_PVS*AB42_Plaque_unbound_PVS;</t>
  </si>
  <si>
    <t xml:space="preserve">  subcut_to_central: SubCut_absorption =&gt; PK_central; PK_SC_ka*PK_SC_bio*SubCut_absorption;</t>
  </si>
  <si>
    <t xml:space="preserve">  subcut_elimination: SubCut_absorption =&gt; $Sink_SubCut_absorption; PK_SC_ka*(1 - PK_SC_bio)*SubCut_absorption;</t>
  </si>
  <si>
    <t xml:space="preserve">  input_to_central: $Source_PK_central =&gt; PK_central; InputCent;</t>
  </si>
  <si>
    <t>input_to_subcut: $Source_SubCut_absorption =&gt; SubCut_absorption; InputSC;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</si>
</sst>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11" fontId="0" fillId="0" borderId="0" xfId="0" applyNumberFormat="1"/>
    <xf numFmtId="11" fontId="2" fillId="0" borderId="0" xfId="0" applyNumberFormat="1" applyFont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D2959-02C6-45C1-870C-6BC4FF9572EC}">
  <dimension ref="A1:S82"/>
  <sheetViews>
    <sheetView workbookViewId="0">
      <selection activeCell="C7" sqref="C7"/>
    </sheetView>
  </sheetViews>
  <sheetFormatPr defaultRowHeight="14.6" x14ac:dyDescent="0.4"/>
  <cols>
    <col min="1" max="1" width="34.84375" customWidth="1"/>
  </cols>
  <sheetData>
    <row r="1" spans="1:19" x14ac:dyDescent="0.4">
      <c r="A1" t="s">
        <v>0</v>
      </c>
      <c r="B1" t="s">
        <v>1</v>
      </c>
      <c r="C1" t="s">
        <v>2</v>
      </c>
      <c r="Q1">
        <v>4</v>
      </c>
      <c r="R1" t="s">
        <v>22</v>
      </c>
      <c r="S1" t="s">
        <v>18</v>
      </c>
    </row>
    <row r="2" spans="1:19" x14ac:dyDescent="0.4">
      <c r="A2" t="s">
        <v>0</v>
      </c>
      <c r="B2" t="s">
        <v>1</v>
      </c>
      <c r="C2" t="s">
        <v>3</v>
      </c>
      <c r="Q2">
        <v>5</v>
      </c>
      <c r="R2" t="s">
        <v>25</v>
      </c>
      <c r="S2" t="s">
        <v>18</v>
      </c>
    </row>
    <row r="3" spans="1:19" x14ac:dyDescent="0.4">
      <c r="A3" t="s">
        <v>0</v>
      </c>
      <c r="B3" t="s">
        <v>4</v>
      </c>
      <c r="C3" t="s">
        <v>5</v>
      </c>
      <c r="Q3">
        <v>3</v>
      </c>
      <c r="R3" t="s">
        <v>18</v>
      </c>
      <c r="S3" t="s">
        <v>21</v>
      </c>
    </row>
    <row r="4" spans="1:19" x14ac:dyDescent="0.4">
      <c r="A4" t="s">
        <v>0</v>
      </c>
      <c r="B4" t="s">
        <v>4</v>
      </c>
      <c r="C4" t="s">
        <v>6</v>
      </c>
      <c r="Q4">
        <v>6</v>
      </c>
      <c r="R4" t="s">
        <v>18</v>
      </c>
      <c r="S4" t="s">
        <v>19</v>
      </c>
    </row>
    <row r="5" spans="1:19" x14ac:dyDescent="0.4">
      <c r="A5" t="s">
        <v>0</v>
      </c>
      <c r="B5" t="s">
        <v>4</v>
      </c>
      <c r="C5" t="s">
        <v>7</v>
      </c>
      <c r="Q5">
        <v>2</v>
      </c>
      <c r="R5" t="s">
        <v>18</v>
      </c>
      <c r="S5" t="s">
        <v>24</v>
      </c>
    </row>
    <row r="7" spans="1:19" x14ac:dyDescent="0.4">
      <c r="A7" t="s">
        <v>8</v>
      </c>
      <c r="B7" t="s">
        <v>4</v>
      </c>
      <c r="C7" t="s">
        <v>9</v>
      </c>
    </row>
    <row r="8" spans="1:19" x14ac:dyDescent="0.4">
      <c r="A8" t="s">
        <v>8</v>
      </c>
      <c r="B8" t="s">
        <v>1</v>
      </c>
      <c r="C8" t="s">
        <v>10</v>
      </c>
      <c r="Q8">
        <v>5</v>
      </c>
      <c r="R8" t="s">
        <v>25</v>
      </c>
      <c r="S8" t="s">
        <v>18</v>
      </c>
    </row>
    <row r="9" spans="1:19" x14ac:dyDescent="0.4">
      <c r="A9" t="s">
        <v>8</v>
      </c>
      <c r="B9" t="s">
        <v>4</v>
      </c>
      <c r="C9" t="s">
        <v>11</v>
      </c>
      <c r="Q9">
        <v>2</v>
      </c>
      <c r="R9" t="s">
        <v>18</v>
      </c>
      <c r="S9" t="s">
        <v>24</v>
      </c>
    </row>
    <row r="10" spans="1:19" x14ac:dyDescent="0.4">
      <c r="A10" t="s">
        <v>8</v>
      </c>
      <c r="B10" t="s">
        <v>1</v>
      </c>
      <c r="C10" t="s">
        <v>12</v>
      </c>
    </row>
    <row r="11" spans="1:19" x14ac:dyDescent="0.4">
      <c r="A11" t="s">
        <v>8</v>
      </c>
      <c r="B11" t="s">
        <v>4</v>
      </c>
      <c r="C11" t="s">
        <v>13</v>
      </c>
      <c r="Q11">
        <v>1</v>
      </c>
      <c r="R11" t="s">
        <v>18</v>
      </c>
      <c r="S11" t="s">
        <v>23</v>
      </c>
    </row>
    <row r="12" spans="1:19" x14ac:dyDescent="0.4">
      <c r="A12" t="s">
        <v>8</v>
      </c>
      <c r="B12" t="s">
        <v>4</v>
      </c>
      <c r="C12" t="s">
        <v>14</v>
      </c>
    </row>
    <row r="13" spans="1:19" x14ac:dyDescent="0.4">
      <c r="A13" t="s">
        <v>8</v>
      </c>
      <c r="B13" t="s">
        <v>1</v>
      </c>
      <c r="C13" t="s">
        <v>15</v>
      </c>
      <c r="Q13">
        <v>4</v>
      </c>
      <c r="R13" t="s">
        <v>22</v>
      </c>
      <c r="S13" t="s">
        <v>18</v>
      </c>
    </row>
    <row r="14" spans="1:19" x14ac:dyDescent="0.4">
      <c r="A14" t="s">
        <v>8</v>
      </c>
      <c r="B14" t="s">
        <v>4</v>
      </c>
      <c r="C14" t="s">
        <v>16</v>
      </c>
      <c r="Q14">
        <v>3</v>
      </c>
      <c r="R14" t="s">
        <v>20</v>
      </c>
      <c r="S14" t="s">
        <v>21</v>
      </c>
    </row>
    <row r="15" spans="1:19" x14ac:dyDescent="0.4">
      <c r="A15" t="s">
        <v>8</v>
      </c>
      <c r="B15" t="s">
        <v>4</v>
      </c>
      <c r="C15" t="s">
        <v>17</v>
      </c>
      <c r="Q15">
        <v>6</v>
      </c>
      <c r="R15" t="s">
        <v>18</v>
      </c>
      <c r="S15" t="s">
        <v>19</v>
      </c>
    </row>
    <row r="19" spans="1:19" x14ac:dyDescent="0.4">
      <c r="A19" t="s">
        <v>26</v>
      </c>
      <c r="B19" t="s">
        <v>1</v>
      </c>
      <c r="C19" t="s">
        <v>27</v>
      </c>
    </row>
    <row r="20" spans="1:19" x14ac:dyDescent="0.4">
      <c r="A20" t="s">
        <v>26</v>
      </c>
      <c r="B20" t="s">
        <v>4</v>
      </c>
      <c r="C20" t="s">
        <v>28</v>
      </c>
    </row>
    <row r="21" spans="1:19" x14ac:dyDescent="0.4">
      <c r="A21" t="s">
        <v>26</v>
      </c>
      <c r="B21" t="s">
        <v>4</v>
      </c>
      <c r="C21" t="s">
        <v>29</v>
      </c>
      <c r="Q21">
        <v>1</v>
      </c>
      <c r="R21" t="s">
        <v>18</v>
      </c>
      <c r="S21" t="s">
        <v>23</v>
      </c>
    </row>
    <row r="22" spans="1:19" x14ac:dyDescent="0.4">
      <c r="A22" t="s">
        <v>26</v>
      </c>
      <c r="B22" t="s">
        <v>1</v>
      </c>
      <c r="C22" t="s">
        <v>30</v>
      </c>
      <c r="Q22">
        <v>4</v>
      </c>
      <c r="R22" t="s">
        <v>22</v>
      </c>
      <c r="S22" t="s">
        <v>18</v>
      </c>
    </row>
    <row r="23" spans="1:19" x14ac:dyDescent="0.4">
      <c r="A23" t="s">
        <v>26</v>
      </c>
      <c r="B23" t="s">
        <v>1</v>
      </c>
      <c r="C23" t="s">
        <v>31</v>
      </c>
      <c r="Q23">
        <v>5</v>
      </c>
      <c r="R23" t="s">
        <v>25</v>
      </c>
      <c r="S23" t="s">
        <v>18</v>
      </c>
    </row>
    <row r="24" spans="1:19" x14ac:dyDescent="0.4">
      <c r="A24" t="s">
        <v>26</v>
      </c>
      <c r="B24" t="s">
        <v>4</v>
      </c>
      <c r="C24" t="s">
        <v>32</v>
      </c>
      <c r="Q24">
        <v>3</v>
      </c>
      <c r="R24" t="s">
        <v>18</v>
      </c>
      <c r="S24" t="s">
        <v>21</v>
      </c>
    </row>
    <row r="25" spans="1:19" x14ac:dyDescent="0.4">
      <c r="A25" t="s">
        <v>26</v>
      </c>
      <c r="B25" t="s">
        <v>4</v>
      </c>
      <c r="C25" t="s">
        <v>33</v>
      </c>
      <c r="Q25">
        <v>6</v>
      </c>
      <c r="R25" t="s">
        <v>18</v>
      </c>
      <c r="S25" t="s">
        <v>19</v>
      </c>
    </row>
    <row r="26" spans="1:19" x14ac:dyDescent="0.4">
      <c r="A26" t="s">
        <v>26</v>
      </c>
      <c r="B26" t="s">
        <v>4</v>
      </c>
      <c r="C26" t="s">
        <v>34</v>
      </c>
      <c r="Q26">
        <v>2</v>
      </c>
      <c r="R26" t="s">
        <v>18</v>
      </c>
      <c r="S26" t="s">
        <v>24</v>
      </c>
    </row>
    <row r="27" spans="1:19" x14ac:dyDescent="0.4">
      <c r="A27" t="s">
        <v>26</v>
      </c>
      <c r="B27" t="s">
        <v>1</v>
      </c>
      <c r="C27" t="s">
        <v>35</v>
      </c>
      <c r="R27" t="s">
        <v>37</v>
      </c>
    </row>
    <row r="28" spans="1:19" x14ac:dyDescent="0.4">
      <c r="A28" t="s">
        <v>26</v>
      </c>
      <c r="B28" t="s">
        <v>4</v>
      </c>
      <c r="C28" t="s">
        <v>36</v>
      </c>
      <c r="R28" t="s">
        <v>37</v>
      </c>
    </row>
    <row r="31" spans="1:19" x14ac:dyDescent="0.4">
      <c r="A31" t="s">
        <v>38</v>
      </c>
      <c r="B31" t="s">
        <v>1</v>
      </c>
      <c r="C31" t="s">
        <v>39</v>
      </c>
      <c r="Q31">
        <v>1</v>
      </c>
      <c r="R31" t="s">
        <v>18</v>
      </c>
      <c r="S31" t="s">
        <v>23</v>
      </c>
    </row>
    <row r="32" spans="1:19" x14ac:dyDescent="0.4">
      <c r="A32" t="s">
        <v>38</v>
      </c>
      <c r="B32" t="s">
        <v>4</v>
      </c>
      <c r="C32" t="s">
        <v>40</v>
      </c>
      <c r="Q32">
        <v>10</v>
      </c>
      <c r="R32" t="s">
        <v>23</v>
      </c>
      <c r="S32" t="s">
        <v>19</v>
      </c>
    </row>
    <row r="33" spans="1:19" x14ac:dyDescent="0.4">
      <c r="A33" t="s">
        <v>38</v>
      </c>
      <c r="B33" t="s">
        <v>1</v>
      </c>
      <c r="C33" t="s">
        <v>41</v>
      </c>
      <c r="R33" t="s">
        <v>37</v>
      </c>
    </row>
    <row r="34" spans="1:19" x14ac:dyDescent="0.4">
      <c r="A34" t="s">
        <v>38</v>
      </c>
      <c r="B34" t="s">
        <v>4</v>
      </c>
      <c r="C34" t="s">
        <v>42</v>
      </c>
      <c r="R34" t="s">
        <v>37</v>
      </c>
    </row>
    <row r="35" spans="1:19" x14ac:dyDescent="0.4">
      <c r="A35" t="s">
        <v>38</v>
      </c>
      <c r="B35" t="s">
        <v>1</v>
      </c>
      <c r="C35" t="s">
        <v>43</v>
      </c>
      <c r="Q35">
        <v>11</v>
      </c>
      <c r="R35" s="1" t="s">
        <v>25</v>
      </c>
      <c r="S35" s="1" t="s">
        <v>23</v>
      </c>
    </row>
    <row r="38" spans="1:19" x14ac:dyDescent="0.4">
      <c r="A38" t="s">
        <v>83</v>
      </c>
      <c r="B38" t="s">
        <v>1</v>
      </c>
      <c r="C38" t="s">
        <v>84</v>
      </c>
    </row>
    <row r="39" spans="1:19" x14ac:dyDescent="0.4">
      <c r="A39" t="s">
        <v>83</v>
      </c>
      <c r="B39" t="s">
        <v>1</v>
      </c>
      <c r="C39" t="s">
        <v>85</v>
      </c>
    </row>
    <row r="40" spans="1:19" x14ac:dyDescent="0.4">
      <c r="A40" t="s">
        <v>83</v>
      </c>
      <c r="B40" t="s">
        <v>4</v>
      </c>
      <c r="C40" t="s">
        <v>86</v>
      </c>
    </row>
    <row r="41" spans="1:19" x14ac:dyDescent="0.4">
      <c r="A41" t="s">
        <v>83</v>
      </c>
      <c r="B41" t="s">
        <v>1</v>
      </c>
      <c r="C41" t="s">
        <v>87</v>
      </c>
      <c r="Q41">
        <v>7</v>
      </c>
      <c r="R41" t="s">
        <v>91</v>
      </c>
      <c r="S41" t="s">
        <v>22</v>
      </c>
    </row>
    <row r="42" spans="1:19" x14ac:dyDescent="0.4">
      <c r="A42" t="s">
        <v>83</v>
      </c>
      <c r="B42" t="s">
        <v>4</v>
      </c>
      <c r="C42" t="s">
        <v>88</v>
      </c>
      <c r="Q42">
        <v>8</v>
      </c>
      <c r="R42" t="s">
        <v>22</v>
      </c>
      <c r="S42" t="s">
        <v>91</v>
      </c>
    </row>
    <row r="43" spans="1:19" x14ac:dyDescent="0.4">
      <c r="A43" t="s">
        <v>83</v>
      </c>
      <c r="B43" t="s">
        <v>4</v>
      </c>
      <c r="C43" t="s">
        <v>89</v>
      </c>
      <c r="Q43">
        <v>9</v>
      </c>
      <c r="R43" t="s">
        <v>22</v>
      </c>
      <c r="S43" t="s">
        <v>92</v>
      </c>
    </row>
    <row r="44" spans="1:19" x14ac:dyDescent="0.4">
      <c r="A44" t="s">
        <v>83</v>
      </c>
      <c r="B44" t="s">
        <v>4</v>
      </c>
      <c r="C44" t="s">
        <v>90</v>
      </c>
      <c r="Q44">
        <v>4</v>
      </c>
      <c r="R44" t="s">
        <v>22</v>
      </c>
      <c r="S44" t="s">
        <v>18</v>
      </c>
    </row>
    <row r="46" spans="1:19" x14ac:dyDescent="0.4">
      <c r="A46" t="s">
        <v>93</v>
      </c>
      <c r="B46" t="s">
        <v>1</v>
      </c>
      <c r="C46" t="s">
        <v>94</v>
      </c>
      <c r="R46" t="s">
        <v>25</v>
      </c>
      <c r="S46" t="s">
        <v>19</v>
      </c>
    </row>
    <row r="47" spans="1:19" x14ac:dyDescent="0.4">
      <c r="A47" t="s">
        <v>93</v>
      </c>
      <c r="B47" t="s">
        <v>1</v>
      </c>
      <c r="C47" t="s">
        <v>95</v>
      </c>
      <c r="R47" t="s">
        <v>23</v>
      </c>
      <c r="S47" t="s">
        <v>19</v>
      </c>
    </row>
    <row r="48" spans="1:19" x14ac:dyDescent="0.4">
      <c r="A48" t="s">
        <v>93</v>
      </c>
      <c r="B48" t="s">
        <v>1</v>
      </c>
      <c r="C48" t="s">
        <v>96</v>
      </c>
      <c r="R48" t="s">
        <v>22</v>
      </c>
      <c r="S48" t="s">
        <v>91</v>
      </c>
    </row>
    <row r="49" spans="1:19" x14ac:dyDescent="0.4">
      <c r="A49" t="s">
        <v>93</v>
      </c>
      <c r="B49" t="s">
        <v>1</v>
      </c>
      <c r="C49" t="s">
        <v>97</v>
      </c>
      <c r="R49" t="s">
        <v>18</v>
      </c>
      <c r="S49" t="s">
        <v>19</v>
      </c>
    </row>
    <row r="50" spans="1:19" x14ac:dyDescent="0.4">
      <c r="A50" t="s">
        <v>93</v>
      </c>
      <c r="B50" t="s">
        <v>4</v>
      </c>
      <c r="C50" t="s">
        <v>98</v>
      </c>
      <c r="R50" t="s">
        <v>91</v>
      </c>
      <c r="S50" t="s">
        <v>22</v>
      </c>
    </row>
    <row r="51" spans="1:19" x14ac:dyDescent="0.4">
      <c r="A51" t="s">
        <v>93</v>
      </c>
      <c r="B51" t="s">
        <v>4</v>
      </c>
      <c r="C51" t="s">
        <v>99</v>
      </c>
      <c r="R51" t="s">
        <v>102</v>
      </c>
      <c r="S51" t="s">
        <v>104</v>
      </c>
    </row>
    <row r="52" spans="1:19" x14ac:dyDescent="0.4">
      <c r="A52" t="s">
        <v>93</v>
      </c>
      <c r="B52" t="s">
        <v>1</v>
      </c>
      <c r="C52" t="s">
        <v>100</v>
      </c>
      <c r="R52" t="s">
        <v>103</v>
      </c>
      <c r="S52" t="s">
        <v>91</v>
      </c>
    </row>
    <row r="53" spans="1:19" x14ac:dyDescent="0.4">
      <c r="A53" t="s">
        <v>93</v>
      </c>
      <c r="B53" t="s">
        <v>4</v>
      </c>
      <c r="C53" t="s">
        <v>101</v>
      </c>
      <c r="R53" t="s">
        <v>91</v>
      </c>
      <c r="S53" t="s">
        <v>103</v>
      </c>
    </row>
    <row r="56" spans="1:19" x14ac:dyDescent="0.4">
      <c r="A56" t="s">
        <v>105</v>
      </c>
      <c r="B56" t="s">
        <v>1</v>
      </c>
      <c r="C56" t="s">
        <v>106</v>
      </c>
    </row>
    <row r="57" spans="1:19" x14ac:dyDescent="0.4">
      <c r="A57" t="s">
        <v>105</v>
      </c>
      <c r="B57" t="s">
        <v>4</v>
      </c>
      <c r="C57" t="s">
        <v>107</v>
      </c>
    </row>
    <row r="59" spans="1:19" x14ac:dyDescent="0.4">
      <c r="A59" t="s">
        <v>108</v>
      </c>
      <c r="B59" t="s">
        <v>1</v>
      </c>
      <c r="C59" t="s">
        <v>109</v>
      </c>
    </row>
    <row r="60" spans="1:19" x14ac:dyDescent="0.4">
      <c r="A60" t="s">
        <v>108</v>
      </c>
      <c r="B60" t="s">
        <v>4</v>
      </c>
      <c r="C60" t="s">
        <v>110</v>
      </c>
    </row>
    <row r="61" spans="1:19" x14ac:dyDescent="0.4">
      <c r="A61" t="s">
        <v>108</v>
      </c>
      <c r="B61" t="s">
        <v>4</v>
      </c>
      <c r="C61" t="s">
        <v>111</v>
      </c>
      <c r="R61" t="s">
        <v>24</v>
      </c>
      <c r="S61" t="s">
        <v>21</v>
      </c>
    </row>
    <row r="62" spans="1:19" x14ac:dyDescent="0.4">
      <c r="A62" t="s">
        <v>108</v>
      </c>
      <c r="B62" t="s">
        <v>1</v>
      </c>
      <c r="C62" t="s">
        <v>112</v>
      </c>
      <c r="R62" t="s">
        <v>18</v>
      </c>
      <c r="S62" t="s">
        <v>24</v>
      </c>
    </row>
    <row r="63" spans="1:19" x14ac:dyDescent="0.4">
      <c r="A63" t="s">
        <v>108</v>
      </c>
      <c r="B63" t="s">
        <v>1</v>
      </c>
      <c r="C63" t="s">
        <v>113</v>
      </c>
      <c r="R63" t="s">
        <v>22</v>
      </c>
      <c r="S63" t="s">
        <v>24</v>
      </c>
    </row>
    <row r="65" spans="1:19" x14ac:dyDescent="0.4">
      <c r="A65" t="s">
        <v>115</v>
      </c>
      <c r="B65" t="s">
        <v>1</v>
      </c>
      <c r="C65" t="s">
        <v>116</v>
      </c>
      <c r="R65" t="s">
        <v>120</v>
      </c>
      <c r="S65" t="s">
        <v>25</v>
      </c>
    </row>
    <row r="66" spans="1:19" x14ac:dyDescent="0.4">
      <c r="A66" t="s">
        <v>115</v>
      </c>
      <c r="B66" t="s">
        <v>4</v>
      </c>
      <c r="C66" t="s">
        <v>117</v>
      </c>
      <c r="R66" t="s">
        <v>25</v>
      </c>
      <c r="S66" t="s">
        <v>19</v>
      </c>
    </row>
    <row r="67" spans="1:19" x14ac:dyDescent="0.4">
      <c r="A67" t="s">
        <v>115</v>
      </c>
      <c r="B67" t="s">
        <v>4</v>
      </c>
      <c r="C67" t="s">
        <v>118</v>
      </c>
      <c r="R67" t="s">
        <v>25</v>
      </c>
      <c r="S67" t="s">
        <v>121</v>
      </c>
    </row>
    <row r="68" spans="1:19" x14ac:dyDescent="0.4">
      <c r="A68" t="s">
        <v>115</v>
      </c>
      <c r="B68" t="s">
        <v>4</v>
      </c>
      <c r="C68" t="s">
        <v>119</v>
      </c>
      <c r="R68" t="s">
        <v>25</v>
      </c>
      <c r="S68" t="s">
        <v>122</v>
      </c>
    </row>
    <row r="70" spans="1:19" x14ac:dyDescent="0.4">
      <c r="A70" t="s">
        <v>123</v>
      </c>
      <c r="B70" t="s">
        <v>1</v>
      </c>
      <c r="C70" t="s">
        <v>124</v>
      </c>
    </row>
    <row r="71" spans="1:19" x14ac:dyDescent="0.4">
      <c r="A71" t="s">
        <v>123</v>
      </c>
      <c r="B71" t="s">
        <v>4</v>
      </c>
      <c r="C71" t="s">
        <v>125</v>
      </c>
    </row>
    <row r="72" spans="1:19" x14ac:dyDescent="0.4">
      <c r="A72" t="s">
        <v>123</v>
      </c>
      <c r="B72" t="s">
        <v>1</v>
      </c>
      <c r="C72" t="s">
        <v>126</v>
      </c>
      <c r="R72" t="s">
        <v>24</v>
      </c>
      <c r="S72" t="s">
        <v>21</v>
      </c>
    </row>
    <row r="73" spans="1:19" x14ac:dyDescent="0.4">
      <c r="A73" t="s">
        <v>123</v>
      </c>
      <c r="B73" t="s">
        <v>4</v>
      </c>
      <c r="C73" t="s">
        <v>127</v>
      </c>
      <c r="R73" t="s">
        <v>21</v>
      </c>
      <c r="S73" t="s">
        <v>114</v>
      </c>
    </row>
    <row r="74" spans="1:19" x14ac:dyDescent="0.4">
      <c r="A74" t="s">
        <v>123</v>
      </c>
      <c r="B74" t="s">
        <v>1</v>
      </c>
      <c r="C74" t="s">
        <v>128</v>
      </c>
      <c r="R74" t="s">
        <v>18</v>
      </c>
      <c r="S74" t="s">
        <v>21</v>
      </c>
    </row>
    <row r="75" spans="1:19" x14ac:dyDescent="0.4">
      <c r="A75" t="s">
        <v>123</v>
      </c>
      <c r="B75" t="s">
        <v>1</v>
      </c>
      <c r="C75" t="s">
        <v>129</v>
      </c>
      <c r="R75" t="s">
        <v>22</v>
      </c>
      <c r="S75" t="s">
        <v>21</v>
      </c>
    </row>
    <row r="78" spans="1:19" x14ac:dyDescent="0.4">
      <c r="A78" t="s">
        <v>130</v>
      </c>
      <c r="B78" t="s">
        <v>1</v>
      </c>
      <c r="C78" t="s">
        <v>131</v>
      </c>
    </row>
    <row r="79" spans="1:19" x14ac:dyDescent="0.4">
      <c r="A79" t="s">
        <v>130</v>
      </c>
      <c r="B79" t="s">
        <v>4</v>
      </c>
      <c r="C79" t="s">
        <v>132</v>
      </c>
    </row>
    <row r="81" spans="1:3" x14ac:dyDescent="0.4">
      <c r="A81" t="s">
        <v>133</v>
      </c>
      <c r="B81" t="s">
        <v>4</v>
      </c>
      <c r="C81" t="s">
        <v>134</v>
      </c>
    </row>
    <row r="82" spans="1:3" x14ac:dyDescent="0.4">
      <c r="A82" t="s">
        <v>133</v>
      </c>
      <c r="B82" t="s">
        <v>4</v>
      </c>
      <c r="C82" t="s">
        <v>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4ABC7-39A9-49D1-97AC-8C7660733499}">
  <dimension ref="A1:D155"/>
  <sheetViews>
    <sheetView topLeftCell="A67" workbookViewId="0">
      <selection activeCell="D82" sqref="D82"/>
    </sheetView>
  </sheetViews>
  <sheetFormatPr defaultRowHeight="14.6" x14ac:dyDescent="0.4"/>
  <cols>
    <col min="1" max="1" width="40.3046875" customWidth="1"/>
    <col min="2" max="2" width="13.921875" customWidth="1"/>
  </cols>
  <sheetData>
    <row r="1" spans="1:4" x14ac:dyDescent="0.4">
      <c r="A1" t="s">
        <v>136</v>
      </c>
    </row>
    <row r="2" spans="1:4" x14ac:dyDescent="0.4">
      <c r="A2" t="s">
        <v>18</v>
      </c>
      <c r="B2" t="s">
        <v>135</v>
      </c>
      <c r="C2" t="s">
        <v>137</v>
      </c>
    </row>
    <row r="3" spans="1:4" x14ac:dyDescent="0.4">
      <c r="A3" t="s">
        <v>22</v>
      </c>
      <c r="B3" t="s">
        <v>135</v>
      </c>
    </row>
    <row r="4" spans="1:4" x14ac:dyDescent="0.4">
      <c r="A4" t="s">
        <v>22</v>
      </c>
      <c r="B4" t="s">
        <v>92</v>
      </c>
    </row>
    <row r="5" spans="1:4" x14ac:dyDescent="0.4">
      <c r="A5" t="s">
        <v>21</v>
      </c>
      <c r="B5" t="s">
        <v>92</v>
      </c>
    </row>
    <row r="6" spans="1:4" x14ac:dyDescent="0.4">
      <c r="A6" t="s">
        <v>24</v>
      </c>
      <c r="B6" t="s">
        <v>92</v>
      </c>
    </row>
    <row r="9" spans="1:4" x14ac:dyDescent="0.4">
      <c r="A9" t="s">
        <v>0</v>
      </c>
      <c r="B9" t="s">
        <v>190</v>
      </c>
      <c r="C9" t="s">
        <v>1</v>
      </c>
      <c r="D9" t="s">
        <v>138</v>
      </c>
    </row>
    <row r="10" spans="1:4" x14ac:dyDescent="0.4">
      <c r="A10" t="s">
        <v>0</v>
      </c>
      <c r="B10" t="s">
        <v>191</v>
      </c>
      <c r="C10" t="s">
        <v>4</v>
      </c>
      <c r="D10" t="s">
        <v>139</v>
      </c>
    </row>
    <row r="11" spans="1:4" x14ac:dyDescent="0.4">
      <c r="A11" t="s">
        <v>8</v>
      </c>
      <c r="B11" t="s">
        <v>191</v>
      </c>
      <c r="C11" t="s">
        <v>4</v>
      </c>
      <c r="D11" t="s">
        <v>9</v>
      </c>
    </row>
    <row r="12" spans="1:4" x14ac:dyDescent="0.4">
      <c r="A12" t="s">
        <v>140</v>
      </c>
      <c r="B12" t="s">
        <v>190</v>
      </c>
      <c r="C12" t="s">
        <v>4</v>
      </c>
      <c r="D12" t="s">
        <v>141</v>
      </c>
    </row>
    <row r="13" spans="1:4" x14ac:dyDescent="0.4">
      <c r="A13" t="s">
        <v>140</v>
      </c>
      <c r="B13" t="s">
        <v>192</v>
      </c>
      <c r="C13" t="s">
        <v>4</v>
      </c>
      <c r="D13" t="s">
        <v>142</v>
      </c>
    </row>
    <row r="14" spans="1:4" x14ac:dyDescent="0.4">
      <c r="A14" t="s">
        <v>143</v>
      </c>
      <c r="B14" t="s">
        <v>193</v>
      </c>
      <c r="C14" t="s">
        <v>1</v>
      </c>
      <c r="D14" t="s">
        <v>144</v>
      </c>
    </row>
    <row r="15" spans="1:4" x14ac:dyDescent="0.4">
      <c r="A15" t="s">
        <v>143</v>
      </c>
      <c r="B15" t="s">
        <v>191</v>
      </c>
      <c r="C15" t="s">
        <v>1</v>
      </c>
      <c r="D15" t="s">
        <v>145</v>
      </c>
    </row>
    <row r="16" spans="1:4" x14ac:dyDescent="0.4">
      <c r="A16" t="s">
        <v>146</v>
      </c>
      <c r="B16" t="s">
        <v>194</v>
      </c>
      <c r="C16" t="s">
        <v>4</v>
      </c>
      <c r="D16" t="s">
        <v>147</v>
      </c>
    </row>
    <row r="17" spans="1:4" x14ac:dyDescent="0.4">
      <c r="A17" t="s">
        <v>146</v>
      </c>
      <c r="B17" t="s">
        <v>195</v>
      </c>
      <c r="C17" t="s">
        <v>4</v>
      </c>
      <c r="D17" t="s">
        <v>148</v>
      </c>
    </row>
    <row r="18" spans="1:4" x14ac:dyDescent="0.4">
      <c r="A18" t="s">
        <v>146</v>
      </c>
      <c r="B18" t="s">
        <v>196</v>
      </c>
      <c r="C18" t="s">
        <v>4</v>
      </c>
      <c r="D18" t="s">
        <v>149</v>
      </c>
    </row>
    <row r="19" spans="1:4" x14ac:dyDescent="0.4">
      <c r="A19" t="s">
        <v>150</v>
      </c>
      <c r="B19" t="s">
        <v>199</v>
      </c>
      <c r="C19" t="s">
        <v>1</v>
      </c>
      <c r="D19" t="s">
        <v>151</v>
      </c>
    </row>
    <row r="20" spans="1:4" x14ac:dyDescent="0.4">
      <c r="A20" t="s">
        <v>150</v>
      </c>
      <c r="B20" t="s">
        <v>197</v>
      </c>
      <c r="C20" t="s">
        <v>1</v>
      </c>
      <c r="D20" t="s">
        <v>152</v>
      </c>
    </row>
    <row r="21" spans="1:4" x14ac:dyDescent="0.4">
      <c r="A21" t="s">
        <v>150</v>
      </c>
      <c r="B21" t="s">
        <v>198</v>
      </c>
      <c r="C21" t="s">
        <v>1</v>
      </c>
      <c r="D21" t="s">
        <v>153</v>
      </c>
    </row>
    <row r="22" spans="1:4" x14ac:dyDescent="0.4">
      <c r="A22" t="s">
        <v>154</v>
      </c>
      <c r="B22" t="s">
        <v>192</v>
      </c>
      <c r="C22" t="s">
        <v>1</v>
      </c>
      <c r="D22" t="s">
        <v>155</v>
      </c>
    </row>
    <row r="23" spans="1:4" x14ac:dyDescent="0.4">
      <c r="A23" t="s">
        <v>154</v>
      </c>
      <c r="B23" t="s">
        <v>194</v>
      </c>
      <c r="C23" t="s">
        <v>1</v>
      </c>
      <c r="D23" t="s">
        <v>156</v>
      </c>
    </row>
    <row r="24" spans="1:4" x14ac:dyDescent="0.4">
      <c r="A24" t="s">
        <v>154</v>
      </c>
      <c r="B24" t="s">
        <v>200</v>
      </c>
      <c r="C24" t="s">
        <v>4</v>
      </c>
      <c r="D24" t="s">
        <v>157</v>
      </c>
    </row>
    <row r="25" spans="1:4" x14ac:dyDescent="0.4">
      <c r="A25" t="s">
        <v>158</v>
      </c>
      <c r="B25" t="s">
        <v>195</v>
      </c>
      <c r="C25" t="s">
        <v>1</v>
      </c>
      <c r="D25" t="s">
        <v>159</v>
      </c>
    </row>
    <row r="26" spans="1:4" x14ac:dyDescent="0.4">
      <c r="A26" t="s">
        <v>158</v>
      </c>
      <c r="B26" t="s">
        <v>198</v>
      </c>
      <c r="C26" t="s">
        <v>4</v>
      </c>
      <c r="D26" t="s">
        <v>160</v>
      </c>
    </row>
    <row r="27" spans="1:4" x14ac:dyDescent="0.4">
      <c r="A27" t="s">
        <v>161</v>
      </c>
      <c r="B27" t="s">
        <v>196</v>
      </c>
      <c r="C27" t="s">
        <v>1</v>
      </c>
      <c r="D27" t="s">
        <v>162</v>
      </c>
    </row>
    <row r="28" spans="1:4" x14ac:dyDescent="0.4">
      <c r="A28" t="s">
        <v>161</v>
      </c>
      <c r="B28" t="s">
        <v>197</v>
      </c>
      <c r="C28" t="s">
        <v>4</v>
      </c>
      <c r="D28" t="s">
        <v>163</v>
      </c>
    </row>
    <row r="29" spans="1:4" x14ac:dyDescent="0.4">
      <c r="A29" t="s">
        <v>164</v>
      </c>
      <c r="B29" t="s">
        <v>191</v>
      </c>
      <c r="C29" t="s">
        <v>1</v>
      </c>
      <c r="D29" t="s">
        <v>165</v>
      </c>
    </row>
    <row r="30" spans="1:4" x14ac:dyDescent="0.4">
      <c r="A30" t="s">
        <v>164</v>
      </c>
      <c r="B30" t="s">
        <v>193</v>
      </c>
      <c r="C30" t="s">
        <v>1</v>
      </c>
      <c r="D30" t="s">
        <v>166</v>
      </c>
    </row>
    <row r="31" spans="1:4" x14ac:dyDescent="0.4">
      <c r="A31" t="s">
        <v>167</v>
      </c>
      <c r="B31" t="s">
        <v>200</v>
      </c>
      <c r="C31" t="s">
        <v>1</v>
      </c>
      <c r="D31" t="s">
        <v>168</v>
      </c>
    </row>
    <row r="32" spans="1:4" x14ac:dyDescent="0.4">
      <c r="A32" t="s">
        <v>167</v>
      </c>
      <c r="B32" t="s">
        <v>198</v>
      </c>
      <c r="C32" t="s">
        <v>1</v>
      </c>
      <c r="D32" t="s">
        <v>169</v>
      </c>
    </row>
    <row r="33" spans="1:4" x14ac:dyDescent="0.4">
      <c r="A33" t="s">
        <v>167</v>
      </c>
      <c r="B33" t="s">
        <v>197</v>
      </c>
      <c r="C33" t="s">
        <v>1</v>
      </c>
      <c r="D33" t="s">
        <v>170</v>
      </c>
    </row>
    <row r="34" spans="1:4" x14ac:dyDescent="0.4">
      <c r="A34" t="s">
        <v>171</v>
      </c>
      <c r="B34" t="s">
        <v>200</v>
      </c>
      <c r="C34" t="s">
        <v>4</v>
      </c>
      <c r="D34" t="s">
        <v>172</v>
      </c>
    </row>
    <row r="35" spans="1:4" x14ac:dyDescent="0.4">
      <c r="A35" t="s">
        <v>173</v>
      </c>
      <c r="B35" t="s">
        <v>198</v>
      </c>
      <c r="C35" t="s">
        <v>4</v>
      </c>
      <c r="D35" t="s">
        <v>174</v>
      </c>
    </row>
    <row r="36" spans="1:4" x14ac:dyDescent="0.4">
      <c r="A36" t="s">
        <v>175</v>
      </c>
      <c r="B36" t="s">
        <v>197</v>
      </c>
      <c r="C36" t="s">
        <v>4</v>
      </c>
      <c r="D36" t="s">
        <v>176</v>
      </c>
    </row>
    <row r="37" spans="1:4" x14ac:dyDescent="0.4">
      <c r="A37" t="s">
        <v>177</v>
      </c>
      <c r="C37" t="s">
        <v>1</v>
      </c>
      <c r="D37" t="s">
        <v>178</v>
      </c>
    </row>
    <row r="38" spans="1:4" x14ac:dyDescent="0.4">
      <c r="A38" t="s">
        <v>177</v>
      </c>
      <c r="C38" t="s">
        <v>4</v>
      </c>
      <c r="D38" t="s">
        <v>179</v>
      </c>
    </row>
    <row r="39" spans="1:4" x14ac:dyDescent="0.4">
      <c r="A39" t="s">
        <v>180</v>
      </c>
      <c r="C39" t="s">
        <v>4</v>
      </c>
      <c r="D39" t="s">
        <v>181</v>
      </c>
    </row>
    <row r="40" spans="1:4" x14ac:dyDescent="0.4">
      <c r="A40" t="s">
        <v>182</v>
      </c>
      <c r="C40" t="s">
        <v>4</v>
      </c>
      <c r="D40" t="s">
        <v>183</v>
      </c>
    </row>
    <row r="41" spans="1:4" x14ac:dyDescent="0.4">
      <c r="A41" t="s">
        <v>182</v>
      </c>
      <c r="C41" t="s">
        <v>4</v>
      </c>
      <c r="D41" t="s">
        <v>184</v>
      </c>
    </row>
    <row r="42" spans="1:4" x14ac:dyDescent="0.4">
      <c r="A42" t="s">
        <v>189</v>
      </c>
    </row>
    <row r="43" spans="1:4" x14ac:dyDescent="0.4">
      <c r="A43" t="s">
        <v>26</v>
      </c>
      <c r="B43" t="s">
        <v>190</v>
      </c>
      <c r="C43" t="s">
        <v>1</v>
      </c>
      <c r="D43" t="s">
        <v>27</v>
      </c>
    </row>
    <row r="44" spans="1:4" x14ac:dyDescent="0.4">
      <c r="A44" t="s">
        <v>26</v>
      </c>
      <c r="B44" t="s">
        <v>191</v>
      </c>
      <c r="C44" t="s">
        <v>4</v>
      </c>
      <c r="D44" t="s">
        <v>28</v>
      </c>
    </row>
    <row r="45" spans="1:4" x14ac:dyDescent="0.4">
      <c r="A45" t="s">
        <v>44</v>
      </c>
      <c r="B45" t="s">
        <v>201</v>
      </c>
      <c r="C45" t="s">
        <v>1</v>
      </c>
      <c r="D45" t="s">
        <v>45</v>
      </c>
    </row>
    <row r="46" spans="1:4" x14ac:dyDescent="0.4">
      <c r="A46" t="s">
        <v>44</v>
      </c>
      <c r="B46" t="s">
        <v>201</v>
      </c>
      <c r="C46" t="s">
        <v>1</v>
      </c>
      <c r="D46" t="s">
        <v>46</v>
      </c>
    </row>
    <row r="47" spans="1:4" x14ac:dyDescent="0.4">
      <c r="A47" t="s">
        <v>44</v>
      </c>
      <c r="B47" t="s">
        <v>201</v>
      </c>
      <c r="C47" t="s">
        <v>1</v>
      </c>
      <c r="D47" t="s">
        <v>49</v>
      </c>
    </row>
    <row r="48" spans="1:4" x14ac:dyDescent="0.4">
      <c r="A48" t="s">
        <v>44</v>
      </c>
      <c r="B48" t="s">
        <v>201</v>
      </c>
      <c r="C48" t="s">
        <v>1</v>
      </c>
      <c r="D48" t="s">
        <v>50</v>
      </c>
    </row>
    <row r="49" spans="1:4" x14ac:dyDescent="0.4">
      <c r="A49" t="s">
        <v>44</v>
      </c>
      <c r="B49" t="s">
        <v>201</v>
      </c>
      <c r="C49" t="s">
        <v>1</v>
      </c>
      <c r="D49" t="s">
        <v>53</v>
      </c>
    </row>
    <row r="50" spans="1:4" x14ac:dyDescent="0.4">
      <c r="A50" t="s">
        <v>44</v>
      </c>
      <c r="B50" t="s">
        <v>201</v>
      </c>
      <c r="C50" t="s">
        <v>1</v>
      </c>
      <c r="D50" t="s">
        <v>54</v>
      </c>
    </row>
    <row r="51" spans="1:4" x14ac:dyDescent="0.4">
      <c r="A51" t="s">
        <v>57</v>
      </c>
      <c r="B51" t="s">
        <v>202</v>
      </c>
      <c r="C51" t="s">
        <v>1</v>
      </c>
      <c r="D51" t="s">
        <v>58</v>
      </c>
    </row>
    <row r="52" spans="1:4" x14ac:dyDescent="0.4">
      <c r="A52" t="s">
        <v>57</v>
      </c>
      <c r="B52" t="s">
        <v>202</v>
      </c>
      <c r="C52" t="s">
        <v>1</v>
      </c>
      <c r="D52" t="s">
        <v>59</v>
      </c>
    </row>
    <row r="53" spans="1:4" x14ac:dyDescent="0.4">
      <c r="A53" t="s">
        <v>57</v>
      </c>
      <c r="B53" t="s">
        <v>202</v>
      </c>
      <c r="C53" t="s">
        <v>1</v>
      </c>
      <c r="D53" t="s">
        <v>60</v>
      </c>
    </row>
    <row r="54" spans="1:4" x14ac:dyDescent="0.4">
      <c r="A54" t="s">
        <v>57</v>
      </c>
      <c r="B54" t="s">
        <v>202</v>
      </c>
      <c r="C54" t="s">
        <v>1</v>
      </c>
      <c r="D54" t="s">
        <v>63</v>
      </c>
    </row>
    <row r="55" spans="1:4" x14ac:dyDescent="0.4">
      <c r="A55" t="s">
        <v>57</v>
      </c>
      <c r="B55" t="s">
        <v>202</v>
      </c>
      <c r="C55" t="s">
        <v>1</v>
      </c>
      <c r="D55" t="s">
        <v>64</v>
      </c>
    </row>
    <row r="56" spans="1:4" x14ac:dyDescent="0.4">
      <c r="A56" t="s">
        <v>57</v>
      </c>
      <c r="B56" t="s">
        <v>202</v>
      </c>
      <c r="C56" t="s">
        <v>1</v>
      </c>
      <c r="D56" t="s">
        <v>65</v>
      </c>
    </row>
    <row r="57" spans="1:4" x14ac:dyDescent="0.4">
      <c r="A57" t="s">
        <v>57</v>
      </c>
      <c r="B57" t="s">
        <v>202</v>
      </c>
      <c r="C57" t="s">
        <v>1</v>
      </c>
      <c r="D57" t="s">
        <v>68</v>
      </c>
    </row>
    <row r="58" spans="1:4" x14ac:dyDescent="0.4">
      <c r="A58" t="s">
        <v>57</v>
      </c>
      <c r="B58" t="s">
        <v>202</v>
      </c>
      <c r="C58" t="s">
        <v>1</v>
      </c>
      <c r="D58" t="s">
        <v>69</v>
      </c>
    </row>
    <row r="59" spans="1:4" x14ac:dyDescent="0.4">
      <c r="A59" t="s">
        <v>57</v>
      </c>
      <c r="B59" t="s">
        <v>202</v>
      </c>
      <c r="C59" t="s">
        <v>1</v>
      </c>
      <c r="D59" t="s">
        <v>70</v>
      </c>
    </row>
    <row r="60" spans="1:4" x14ac:dyDescent="0.4">
      <c r="A60" t="s">
        <v>76</v>
      </c>
      <c r="B60" t="s">
        <v>190</v>
      </c>
      <c r="C60" t="s">
        <v>4</v>
      </c>
      <c r="D60" t="s">
        <v>77</v>
      </c>
    </row>
    <row r="61" spans="1:4" x14ac:dyDescent="0.4">
      <c r="A61" t="s">
        <v>76</v>
      </c>
      <c r="B61" t="s">
        <v>192</v>
      </c>
      <c r="C61" t="s">
        <v>4</v>
      </c>
      <c r="D61" t="s">
        <v>78</v>
      </c>
    </row>
    <row r="62" spans="1:4" x14ac:dyDescent="0.4">
      <c r="A62" t="s">
        <v>73</v>
      </c>
      <c r="B62" t="s">
        <v>193</v>
      </c>
      <c r="C62" t="s">
        <v>1</v>
      </c>
      <c r="D62" t="s">
        <v>74</v>
      </c>
    </row>
    <row r="63" spans="1:4" x14ac:dyDescent="0.4">
      <c r="A63" t="s">
        <v>73</v>
      </c>
      <c r="B63" t="s">
        <v>191</v>
      </c>
      <c r="C63" t="s">
        <v>1</v>
      </c>
      <c r="D63" t="s">
        <v>75</v>
      </c>
    </row>
    <row r="64" spans="1:4" x14ac:dyDescent="0.4">
      <c r="A64" t="s">
        <v>185</v>
      </c>
      <c r="B64" t="s">
        <v>202</v>
      </c>
      <c r="C64" t="s">
        <v>4</v>
      </c>
      <c r="D64" t="s">
        <v>186</v>
      </c>
    </row>
    <row r="65" spans="1:4" x14ac:dyDescent="0.4">
      <c r="A65" t="s">
        <v>185</v>
      </c>
      <c r="B65" t="s">
        <v>195</v>
      </c>
      <c r="C65" t="s">
        <v>4</v>
      </c>
      <c r="D65" t="s">
        <v>187</v>
      </c>
    </row>
    <row r="66" spans="1:4" x14ac:dyDescent="0.4">
      <c r="A66" t="s">
        <v>185</v>
      </c>
      <c r="B66" t="s">
        <v>196</v>
      </c>
      <c r="C66" t="s">
        <v>4</v>
      </c>
      <c r="D66" t="s">
        <v>188</v>
      </c>
    </row>
    <row r="67" spans="1:4" x14ac:dyDescent="0.4">
      <c r="A67" t="s">
        <v>79</v>
      </c>
      <c r="B67" t="s">
        <v>199</v>
      </c>
      <c r="C67" t="s">
        <v>1</v>
      </c>
      <c r="D67" t="s">
        <v>80</v>
      </c>
    </row>
    <row r="68" spans="1:4" x14ac:dyDescent="0.4">
      <c r="A68" t="s">
        <v>79</v>
      </c>
      <c r="B68" t="s">
        <v>197</v>
      </c>
      <c r="C68" t="s">
        <v>1</v>
      </c>
      <c r="D68" t="s">
        <v>81</v>
      </c>
    </row>
    <row r="69" spans="1:4" x14ac:dyDescent="0.4">
      <c r="A69" t="s">
        <v>79</v>
      </c>
      <c r="B69" t="s">
        <v>198</v>
      </c>
      <c r="C69" t="s">
        <v>1</v>
      </c>
      <c r="D69" t="s">
        <v>82</v>
      </c>
    </row>
    <row r="70" spans="1:4" x14ac:dyDescent="0.4">
      <c r="A70" t="s">
        <v>83</v>
      </c>
      <c r="B70" t="s">
        <v>192</v>
      </c>
      <c r="C70" t="s">
        <v>1</v>
      </c>
      <c r="D70" t="s">
        <v>84</v>
      </c>
    </row>
    <row r="71" spans="1:4" x14ac:dyDescent="0.4">
      <c r="A71" t="s">
        <v>83</v>
      </c>
      <c r="B71" t="s">
        <v>194</v>
      </c>
      <c r="C71" t="s">
        <v>1</v>
      </c>
      <c r="D71" t="s">
        <v>85</v>
      </c>
    </row>
    <row r="72" spans="1:4" x14ac:dyDescent="0.4">
      <c r="A72" t="s">
        <v>83</v>
      </c>
      <c r="B72" t="s">
        <v>200</v>
      </c>
      <c r="C72" t="s">
        <v>4</v>
      </c>
      <c r="D72" t="s">
        <v>86</v>
      </c>
    </row>
    <row r="73" spans="1:4" x14ac:dyDescent="0.4">
      <c r="A73" t="s">
        <v>108</v>
      </c>
      <c r="B73" t="s">
        <v>195</v>
      </c>
      <c r="C73" t="s">
        <v>1</v>
      </c>
      <c r="D73" t="s">
        <v>109</v>
      </c>
    </row>
    <row r="74" spans="1:4" x14ac:dyDescent="0.4">
      <c r="A74" t="s">
        <v>108</v>
      </c>
      <c r="B74" t="s">
        <v>198</v>
      </c>
      <c r="C74" t="s">
        <v>4</v>
      </c>
      <c r="D74" t="s">
        <v>110</v>
      </c>
    </row>
    <row r="75" spans="1:4" x14ac:dyDescent="0.4">
      <c r="A75" t="s">
        <v>123</v>
      </c>
      <c r="B75" t="s">
        <v>196</v>
      </c>
      <c r="C75" t="s">
        <v>1</v>
      </c>
      <c r="D75" t="s">
        <v>124</v>
      </c>
    </row>
    <row r="76" spans="1:4" x14ac:dyDescent="0.4">
      <c r="A76" t="s">
        <v>123</v>
      </c>
      <c r="B76" t="s">
        <v>197</v>
      </c>
      <c r="C76" t="s">
        <v>4</v>
      </c>
      <c r="D76" t="s">
        <v>125</v>
      </c>
    </row>
    <row r="82" spans="1:4" x14ac:dyDescent="0.4">
      <c r="A82" t="s">
        <v>44</v>
      </c>
      <c r="B82" t="s">
        <v>201</v>
      </c>
      <c r="C82" t="s">
        <v>1</v>
      </c>
      <c r="D82" t="s">
        <v>45</v>
      </c>
    </row>
    <row r="83" spans="1:4" x14ac:dyDescent="0.4">
      <c r="A83" t="s">
        <v>44</v>
      </c>
      <c r="B83" t="s">
        <v>201</v>
      </c>
      <c r="C83" t="s">
        <v>1</v>
      </c>
      <c r="D83" t="s">
        <v>46</v>
      </c>
    </row>
    <row r="84" spans="1:4" x14ac:dyDescent="0.4">
      <c r="A84" t="s">
        <v>44</v>
      </c>
      <c r="B84" t="s">
        <v>201</v>
      </c>
      <c r="C84" t="s">
        <v>1</v>
      </c>
      <c r="D84" t="s">
        <v>49</v>
      </c>
    </row>
    <row r="85" spans="1:4" x14ac:dyDescent="0.4">
      <c r="A85" t="s">
        <v>44</v>
      </c>
      <c r="B85" t="s">
        <v>201</v>
      </c>
      <c r="C85" t="s">
        <v>1</v>
      </c>
      <c r="D85" t="s">
        <v>50</v>
      </c>
    </row>
    <row r="86" spans="1:4" x14ac:dyDescent="0.4">
      <c r="A86" t="s">
        <v>44</v>
      </c>
      <c r="B86" t="s">
        <v>201</v>
      </c>
      <c r="C86" t="s">
        <v>1</v>
      </c>
      <c r="D86" t="s">
        <v>53</v>
      </c>
    </row>
    <row r="87" spans="1:4" x14ac:dyDescent="0.4">
      <c r="A87" t="s">
        <v>44</v>
      </c>
      <c r="B87" t="s">
        <v>201</v>
      </c>
      <c r="C87" t="s">
        <v>1</v>
      </c>
      <c r="D87" t="s">
        <v>54</v>
      </c>
    </row>
    <row r="88" spans="1:4" x14ac:dyDescent="0.4">
      <c r="A88" s="6" t="s">
        <v>140</v>
      </c>
      <c r="B88" s="6" t="s">
        <v>192</v>
      </c>
      <c r="C88" t="s">
        <v>4</v>
      </c>
      <c r="D88" t="s">
        <v>142</v>
      </c>
    </row>
    <row r="89" spans="1:4" x14ac:dyDescent="0.4">
      <c r="A89" s="6" t="s">
        <v>154</v>
      </c>
      <c r="B89" s="6" t="s">
        <v>192</v>
      </c>
      <c r="C89" t="s">
        <v>1</v>
      </c>
      <c r="D89" t="s">
        <v>155</v>
      </c>
    </row>
    <row r="90" spans="1:4" x14ac:dyDescent="0.4">
      <c r="A90" s="6" t="s">
        <v>76</v>
      </c>
      <c r="B90" s="6" t="s">
        <v>192</v>
      </c>
      <c r="C90" t="s">
        <v>4</v>
      </c>
      <c r="D90" t="s">
        <v>78</v>
      </c>
    </row>
    <row r="91" spans="1:4" x14ac:dyDescent="0.4">
      <c r="A91" s="6" t="s">
        <v>83</v>
      </c>
      <c r="B91" s="6" t="s">
        <v>192</v>
      </c>
      <c r="C91" t="s">
        <v>1</v>
      </c>
      <c r="D91" t="s">
        <v>84</v>
      </c>
    </row>
    <row r="92" spans="1:4" x14ac:dyDescent="0.4">
      <c r="A92" s="3" t="s">
        <v>0</v>
      </c>
      <c r="B92" s="3" t="s">
        <v>190</v>
      </c>
      <c r="C92" t="s">
        <v>1</v>
      </c>
      <c r="D92" t="s">
        <v>138</v>
      </c>
    </row>
    <row r="93" spans="1:4" x14ac:dyDescent="0.4">
      <c r="A93" s="3" t="s">
        <v>140</v>
      </c>
      <c r="B93" s="3" t="s">
        <v>190</v>
      </c>
      <c r="C93" t="s">
        <v>4</v>
      </c>
      <c r="D93" t="s">
        <v>141</v>
      </c>
    </row>
    <row r="94" spans="1:4" x14ac:dyDescent="0.4">
      <c r="A94" s="3" t="s">
        <v>26</v>
      </c>
      <c r="B94" s="3" t="s">
        <v>190</v>
      </c>
      <c r="C94" t="s">
        <v>1</v>
      </c>
      <c r="D94" t="s">
        <v>27</v>
      </c>
    </row>
    <row r="95" spans="1:4" x14ac:dyDescent="0.4">
      <c r="A95" s="3" t="s">
        <v>76</v>
      </c>
      <c r="B95" s="3" t="s">
        <v>190</v>
      </c>
      <c r="C95" t="s">
        <v>4</v>
      </c>
      <c r="D95" t="s">
        <v>77</v>
      </c>
    </row>
    <row r="96" spans="1:4" x14ac:dyDescent="0.4">
      <c r="A96" t="s">
        <v>57</v>
      </c>
      <c r="B96" t="s">
        <v>202</v>
      </c>
      <c r="C96" t="s">
        <v>1</v>
      </c>
      <c r="D96" t="s">
        <v>58</v>
      </c>
    </row>
    <row r="97" spans="1:4" x14ac:dyDescent="0.4">
      <c r="A97" t="s">
        <v>57</v>
      </c>
      <c r="B97" t="s">
        <v>202</v>
      </c>
      <c r="C97" t="s">
        <v>1</v>
      </c>
      <c r="D97" t="s">
        <v>59</v>
      </c>
    </row>
    <row r="98" spans="1:4" x14ac:dyDescent="0.4">
      <c r="A98" t="s">
        <v>57</v>
      </c>
      <c r="B98" t="s">
        <v>202</v>
      </c>
      <c r="C98" t="s">
        <v>1</v>
      </c>
      <c r="D98" t="s">
        <v>60</v>
      </c>
    </row>
    <row r="99" spans="1:4" x14ac:dyDescent="0.4">
      <c r="A99" t="s">
        <v>57</v>
      </c>
      <c r="B99" t="s">
        <v>202</v>
      </c>
      <c r="C99" t="s">
        <v>1</v>
      </c>
      <c r="D99" t="s">
        <v>63</v>
      </c>
    </row>
    <row r="100" spans="1:4" x14ac:dyDescent="0.4">
      <c r="A100" t="s">
        <v>57</v>
      </c>
      <c r="B100" t="s">
        <v>202</v>
      </c>
      <c r="C100" t="s">
        <v>1</v>
      </c>
      <c r="D100" t="s">
        <v>64</v>
      </c>
    </row>
    <row r="101" spans="1:4" x14ac:dyDescent="0.4">
      <c r="A101" t="s">
        <v>57</v>
      </c>
      <c r="B101" t="s">
        <v>202</v>
      </c>
      <c r="C101" t="s">
        <v>1</v>
      </c>
      <c r="D101" t="s">
        <v>65</v>
      </c>
    </row>
    <row r="102" spans="1:4" x14ac:dyDescent="0.4">
      <c r="A102" t="s">
        <v>57</v>
      </c>
      <c r="B102" t="s">
        <v>202</v>
      </c>
      <c r="C102" t="s">
        <v>1</v>
      </c>
      <c r="D102" t="s">
        <v>68</v>
      </c>
    </row>
    <row r="103" spans="1:4" x14ac:dyDescent="0.4">
      <c r="A103" t="s">
        <v>57</v>
      </c>
      <c r="B103" t="s">
        <v>202</v>
      </c>
      <c r="C103" t="s">
        <v>1</v>
      </c>
      <c r="D103" t="s">
        <v>69</v>
      </c>
    </row>
    <row r="104" spans="1:4" x14ac:dyDescent="0.4">
      <c r="A104" t="s">
        <v>57</v>
      </c>
      <c r="B104" t="s">
        <v>202</v>
      </c>
      <c r="C104" t="s">
        <v>1</v>
      </c>
      <c r="D104" t="s">
        <v>70</v>
      </c>
    </row>
    <row r="105" spans="1:4" x14ac:dyDescent="0.4">
      <c r="A105" s="6" t="s">
        <v>185</v>
      </c>
      <c r="B105" s="6" t="s">
        <v>194</v>
      </c>
      <c r="C105" t="s">
        <v>4</v>
      </c>
      <c r="D105" t="s">
        <v>186</v>
      </c>
    </row>
    <row r="106" spans="1:4" x14ac:dyDescent="0.4">
      <c r="A106" s="6" t="s">
        <v>146</v>
      </c>
      <c r="B106" s="6" t="s">
        <v>194</v>
      </c>
      <c r="C106" t="s">
        <v>4</v>
      </c>
      <c r="D106" t="s">
        <v>147</v>
      </c>
    </row>
    <row r="107" spans="1:4" x14ac:dyDescent="0.4">
      <c r="A107" s="6" t="s">
        <v>154</v>
      </c>
      <c r="B107" s="6" t="s">
        <v>194</v>
      </c>
      <c r="C107" t="s">
        <v>1</v>
      </c>
      <c r="D107" t="s">
        <v>156</v>
      </c>
    </row>
    <row r="108" spans="1:4" x14ac:dyDescent="0.4">
      <c r="A108" s="6" t="s">
        <v>83</v>
      </c>
      <c r="B108" s="6" t="s">
        <v>194</v>
      </c>
      <c r="C108" t="s">
        <v>1</v>
      </c>
      <c r="D108" t="s">
        <v>85</v>
      </c>
    </row>
    <row r="109" spans="1:4" x14ac:dyDescent="0.4">
      <c r="A109" s="3" t="s">
        <v>146</v>
      </c>
      <c r="B109" s="3" t="s">
        <v>195</v>
      </c>
      <c r="C109" t="s">
        <v>4</v>
      </c>
      <c r="D109" t="s">
        <v>148</v>
      </c>
    </row>
    <row r="110" spans="1:4" x14ac:dyDescent="0.4">
      <c r="A110" s="3" t="s">
        <v>158</v>
      </c>
      <c r="B110" s="3" t="s">
        <v>195</v>
      </c>
      <c r="C110" t="s">
        <v>1</v>
      </c>
      <c r="D110" t="s">
        <v>159</v>
      </c>
    </row>
    <row r="111" spans="1:4" x14ac:dyDescent="0.4">
      <c r="A111" s="3" t="s">
        <v>185</v>
      </c>
      <c r="B111" s="3" t="s">
        <v>195</v>
      </c>
      <c r="C111" t="s">
        <v>4</v>
      </c>
      <c r="D111" t="s">
        <v>187</v>
      </c>
    </row>
    <row r="112" spans="1:4" x14ac:dyDescent="0.4">
      <c r="A112" s="3" t="s">
        <v>108</v>
      </c>
      <c r="B112" s="3" t="s">
        <v>195</v>
      </c>
      <c r="C112" t="s">
        <v>1</v>
      </c>
      <c r="D112" t="s">
        <v>109</v>
      </c>
    </row>
    <row r="113" spans="1:4" x14ac:dyDescent="0.4">
      <c r="A113" s="3" t="s">
        <v>146</v>
      </c>
      <c r="B113" s="3" t="s">
        <v>196</v>
      </c>
      <c r="C113" t="s">
        <v>4</v>
      </c>
      <c r="D113" t="s">
        <v>149</v>
      </c>
    </row>
    <row r="114" spans="1:4" x14ac:dyDescent="0.4">
      <c r="A114" s="3" t="s">
        <v>161</v>
      </c>
      <c r="B114" s="3" t="s">
        <v>196</v>
      </c>
      <c r="C114" t="s">
        <v>1</v>
      </c>
      <c r="D114" t="s">
        <v>162</v>
      </c>
    </row>
    <row r="115" spans="1:4" x14ac:dyDescent="0.4">
      <c r="A115" s="3" t="s">
        <v>185</v>
      </c>
      <c r="B115" s="3" t="s">
        <v>196</v>
      </c>
      <c r="C115" t="s">
        <v>4</v>
      </c>
      <c r="D115" t="s">
        <v>188</v>
      </c>
    </row>
    <row r="116" spans="1:4" x14ac:dyDescent="0.4">
      <c r="A116" s="3" t="s">
        <v>123</v>
      </c>
      <c r="B116" s="3" t="s">
        <v>196</v>
      </c>
      <c r="C116" t="s">
        <v>1</v>
      </c>
      <c r="D116" t="s">
        <v>124</v>
      </c>
    </row>
    <row r="117" spans="1:4" x14ac:dyDescent="0.4">
      <c r="A117" s="2" t="s">
        <v>154</v>
      </c>
      <c r="B117" s="2" t="s">
        <v>203</v>
      </c>
      <c r="C117" t="s">
        <v>4</v>
      </c>
      <c r="D117" t="s">
        <v>157</v>
      </c>
    </row>
    <row r="118" spans="1:4" x14ac:dyDescent="0.4">
      <c r="A118" s="2" t="s">
        <v>167</v>
      </c>
      <c r="B118" s="2" t="s">
        <v>199</v>
      </c>
      <c r="C118" t="s">
        <v>1</v>
      </c>
      <c r="D118" t="s">
        <v>168</v>
      </c>
    </row>
    <row r="119" spans="1:4" x14ac:dyDescent="0.4">
      <c r="A119" s="2" t="s">
        <v>171</v>
      </c>
      <c r="B119" s="2" t="s">
        <v>203</v>
      </c>
      <c r="C119" t="s">
        <v>4</v>
      </c>
      <c r="D119" t="s">
        <v>172</v>
      </c>
    </row>
    <row r="120" spans="1:4" x14ac:dyDescent="0.4">
      <c r="A120" s="2" t="s">
        <v>83</v>
      </c>
      <c r="B120" s="2" t="s">
        <v>203</v>
      </c>
      <c r="C120" t="s">
        <v>4</v>
      </c>
      <c r="D120" t="s">
        <v>86</v>
      </c>
    </row>
    <row r="121" spans="1:4" x14ac:dyDescent="0.4">
      <c r="A121" s="2" t="s">
        <v>143</v>
      </c>
      <c r="B121" s="2" t="s">
        <v>193</v>
      </c>
      <c r="C121" t="s">
        <v>1</v>
      </c>
      <c r="D121" t="s">
        <v>144</v>
      </c>
    </row>
    <row r="122" spans="1:4" x14ac:dyDescent="0.4">
      <c r="A122" s="2" t="s">
        <v>164</v>
      </c>
      <c r="B122" s="2" t="s">
        <v>193</v>
      </c>
      <c r="C122" t="s">
        <v>1</v>
      </c>
      <c r="D122" t="s">
        <v>166</v>
      </c>
    </row>
    <row r="123" spans="1:4" x14ac:dyDescent="0.4">
      <c r="A123" s="2" t="s">
        <v>73</v>
      </c>
      <c r="B123" s="2" t="s">
        <v>193</v>
      </c>
      <c r="C123" t="s">
        <v>1</v>
      </c>
      <c r="D123" t="s">
        <v>74</v>
      </c>
    </row>
    <row r="124" spans="1:4" x14ac:dyDescent="0.4">
      <c r="A124" s="2" t="s">
        <v>150</v>
      </c>
      <c r="B124" s="2" t="s">
        <v>199</v>
      </c>
      <c r="C124" t="s">
        <v>1</v>
      </c>
      <c r="D124" t="s">
        <v>151</v>
      </c>
    </row>
    <row r="125" spans="1:4" x14ac:dyDescent="0.4">
      <c r="A125" s="2" t="s">
        <v>79</v>
      </c>
      <c r="B125" s="2" t="s">
        <v>199</v>
      </c>
      <c r="C125" t="s">
        <v>1</v>
      </c>
      <c r="D125" t="s">
        <v>80</v>
      </c>
    </row>
    <row r="126" spans="1:4" x14ac:dyDescent="0.4">
      <c r="A126" s="2" t="s">
        <v>0</v>
      </c>
      <c r="B126" s="2" t="s">
        <v>191</v>
      </c>
      <c r="C126" t="s">
        <v>4</v>
      </c>
      <c r="D126" t="s">
        <v>139</v>
      </c>
    </row>
    <row r="127" spans="1:4" x14ac:dyDescent="0.4">
      <c r="A127" s="2" t="s">
        <v>8</v>
      </c>
      <c r="B127" s="2" t="s">
        <v>191</v>
      </c>
      <c r="C127" t="s">
        <v>4</v>
      </c>
      <c r="D127" t="s">
        <v>9</v>
      </c>
    </row>
    <row r="128" spans="1:4" x14ac:dyDescent="0.4">
      <c r="A128" s="2" t="s">
        <v>143</v>
      </c>
      <c r="B128" s="2" t="s">
        <v>191</v>
      </c>
      <c r="C128" t="s">
        <v>1</v>
      </c>
      <c r="D128" t="s">
        <v>145</v>
      </c>
    </row>
    <row r="129" spans="1:4" x14ac:dyDescent="0.4">
      <c r="A129" s="2" t="s">
        <v>164</v>
      </c>
      <c r="B129" s="2" t="s">
        <v>191</v>
      </c>
      <c r="C129" t="s">
        <v>1</v>
      </c>
      <c r="D129" t="s">
        <v>165</v>
      </c>
    </row>
    <row r="130" spans="1:4" x14ac:dyDescent="0.4">
      <c r="A130" s="2" t="s">
        <v>26</v>
      </c>
      <c r="B130" s="2" t="s">
        <v>191</v>
      </c>
      <c r="C130" t="s">
        <v>4</v>
      </c>
      <c r="D130" t="s">
        <v>28</v>
      </c>
    </row>
    <row r="131" spans="1:4" x14ac:dyDescent="0.4">
      <c r="A131" s="2" t="s">
        <v>73</v>
      </c>
      <c r="B131" s="2" t="s">
        <v>191</v>
      </c>
      <c r="C131" t="s">
        <v>1</v>
      </c>
      <c r="D131" t="s">
        <v>75</v>
      </c>
    </row>
    <row r="132" spans="1:4" x14ac:dyDescent="0.4">
      <c r="A132" s="2" t="s">
        <v>150</v>
      </c>
      <c r="B132" s="2" t="s">
        <v>198</v>
      </c>
      <c r="C132" t="s">
        <v>1</v>
      </c>
      <c r="D132" t="s">
        <v>153</v>
      </c>
    </row>
    <row r="133" spans="1:4" x14ac:dyDescent="0.4">
      <c r="A133" s="2" t="s">
        <v>158</v>
      </c>
      <c r="B133" s="2" t="s">
        <v>198</v>
      </c>
      <c r="C133" t="s">
        <v>4</v>
      </c>
      <c r="D133" t="s">
        <v>160</v>
      </c>
    </row>
    <row r="134" spans="1:4" x14ac:dyDescent="0.4">
      <c r="A134" s="2" t="s">
        <v>167</v>
      </c>
      <c r="B134" s="2" t="s">
        <v>198</v>
      </c>
      <c r="C134" t="s">
        <v>1</v>
      </c>
      <c r="D134" t="s">
        <v>169</v>
      </c>
    </row>
    <row r="135" spans="1:4" x14ac:dyDescent="0.4">
      <c r="A135" s="2" t="s">
        <v>173</v>
      </c>
      <c r="B135" s="2" t="s">
        <v>198</v>
      </c>
      <c r="C135" t="s">
        <v>4</v>
      </c>
      <c r="D135" t="s">
        <v>174</v>
      </c>
    </row>
    <row r="136" spans="1:4" x14ac:dyDescent="0.4">
      <c r="A136" s="2" t="s">
        <v>79</v>
      </c>
      <c r="B136" s="2" t="s">
        <v>198</v>
      </c>
      <c r="C136" t="s">
        <v>1</v>
      </c>
      <c r="D136" t="s">
        <v>82</v>
      </c>
    </row>
    <row r="137" spans="1:4" x14ac:dyDescent="0.4">
      <c r="A137" s="2" t="s">
        <v>108</v>
      </c>
      <c r="B137" s="2" t="s">
        <v>198</v>
      </c>
      <c r="C137" t="s">
        <v>4</v>
      </c>
      <c r="D137" t="s">
        <v>110</v>
      </c>
    </row>
    <row r="138" spans="1:4" x14ac:dyDescent="0.4">
      <c r="A138" s="2" t="s">
        <v>150</v>
      </c>
      <c r="B138" s="2" t="s">
        <v>197</v>
      </c>
      <c r="C138" t="s">
        <v>1</v>
      </c>
      <c r="D138" t="s">
        <v>152</v>
      </c>
    </row>
    <row r="139" spans="1:4" x14ac:dyDescent="0.4">
      <c r="A139" s="2" t="s">
        <v>161</v>
      </c>
      <c r="B139" s="2" t="s">
        <v>197</v>
      </c>
      <c r="C139" t="s">
        <v>4</v>
      </c>
      <c r="D139" t="s">
        <v>163</v>
      </c>
    </row>
    <row r="140" spans="1:4" x14ac:dyDescent="0.4">
      <c r="A140" s="2" t="s">
        <v>167</v>
      </c>
      <c r="B140" s="2" t="s">
        <v>197</v>
      </c>
      <c r="C140" t="s">
        <v>1</v>
      </c>
      <c r="D140" t="s">
        <v>170</v>
      </c>
    </row>
    <row r="141" spans="1:4" x14ac:dyDescent="0.4">
      <c r="A141" s="2" t="s">
        <v>175</v>
      </c>
      <c r="B141" s="2" t="s">
        <v>197</v>
      </c>
      <c r="C141" t="s">
        <v>4</v>
      </c>
      <c r="D141" t="s">
        <v>176</v>
      </c>
    </row>
    <row r="142" spans="1:4" x14ac:dyDescent="0.4">
      <c r="A142" s="2" t="s">
        <v>79</v>
      </c>
      <c r="B142" s="2" t="s">
        <v>197</v>
      </c>
      <c r="C142" t="s">
        <v>1</v>
      </c>
      <c r="D142" t="s">
        <v>81</v>
      </c>
    </row>
    <row r="143" spans="1:4" x14ac:dyDescent="0.4">
      <c r="A143" s="2" t="s">
        <v>123</v>
      </c>
      <c r="B143" s="2" t="s">
        <v>197</v>
      </c>
      <c r="C143" t="s">
        <v>4</v>
      </c>
      <c r="D143" t="s">
        <v>125</v>
      </c>
    </row>
    <row r="144" spans="1:4" x14ac:dyDescent="0.4">
      <c r="A144" t="s">
        <v>177</v>
      </c>
      <c r="C144" t="s">
        <v>1</v>
      </c>
      <c r="D144" t="s">
        <v>178</v>
      </c>
    </row>
    <row r="145" spans="1:4" x14ac:dyDescent="0.4">
      <c r="A145" t="s">
        <v>177</v>
      </c>
      <c r="C145" t="s">
        <v>4</v>
      </c>
      <c r="D145" t="s">
        <v>179</v>
      </c>
    </row>
    <row r="146" spans="1:4" x14ac:dyDescent="0.4">
      <c r="A146" t="s">
        <v>180</v>
      </c>
      <c r="C146" t="s">
        <v>4</v>
      </c>
      <c r="D146" t="s">
        <v>181</v>
      </c>
    </row>
    <row r="147" spans="1:4" x14ac:dyDescent="0.4">
      <c r="A147" t="s">
        <v>182</v>
      </c>
      <c r="C147" t="s">
        <v>4</v>
      </c>
      <c r="D147" t="s">
        <v>183</v>
      </c>
    </row>
    <row r="148" spans="1:4" x14ac:dyDescent="0.4">
      <c r="A148" t="s">
        <v>182</v>
      </c>
      <c r="C148" t="s">
        <v>4</v>
      </c>
      <c r="D148" t="s">
        <v>184</v>
      </c>
    </row>
    <row r="149" spans="1:4" x14ac:dyDescent="0.4">
      <c r="A149" t="s">
        <v>189</v>
      </c>
    </row>
    <row r="153" spans="1:4" x14ac:dyDescent="0.4">
      <c r="A153" t="s">
        <v>204</v>
      </c>
    </row>
    <row r="154" spans="1:4" x14ac:dyDescent="0.4">
      <c r="A154" s="5">
        <v>4.9820000000000001E-5</v>
      </c>
      <c r="B154" t="s">
        <v>205</v>
      </c>
    </row>
    <row r="155" spans="1:4" x14ac:dyDescent="0.4">
      <c r="A155" s="4">
        <f>A154*1000000000</f>
        <v>49820</v>
      </c>
      <c r="B155" t="s">
        <v>206</v>
      </c>
    </row>
  </sheetData>
  <sortState xmlns:xlrd2="http://schemas.microsoft.com/office/spreadsheetml/2017/richdata2" ref="A82:D149">
    <sortCondition ref="B82:B14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4F3FC-8752-43F0-B3D4-CB184118A007}">
  <dimension ref="A2:L43"/>
  <sheetViews>
    <sheetView workbookViewId="0">
      <selection activeCell="C29" sqref="C29:C30"/>
    </sheetView>
  </sheetViews>
  <sheetFormatPr defaultRowHeight="14.6" x14ac:dyDescent="0.4"/>
  <cols>
    <col min="1" max="1" width="27.3046875" customWidth="1"/>
    <col min="10" max="10" width="21.3046875" customWidth="1"/>
    <col min="11" max="11" width="3.07421875" customWidth="1"/>
  </cols>
  <sheetData>
    <row r="2" spans="1:12" x14ac:dyDescent="0.4">
      <c r="A2" t="s">
        <v>93</v>
      </c>
      <c r="B2" t="s">
        <v>4</v>
      </c>
      <c r="C2" s="2" t="s">
        <v>207</v>
      </c>
    </row>
    <row r="3" spans="1:12" x14ac:dyDescent="0.4">
      <c r="A3" t="s">
        <v>93</v>
      </c>
      <c r="B3" t="s">
        <v>4</v>
      </c>
      <c r="C3" s="2" t="s">
        <v>208</v>
      </c>
    </row>
    <row r="4" spans="1:12" x14ac:dyDescent="0.4">
      <c r="A4" t="s">
        <v>93</v>
      </c>
      <c r="B4" t="s">
        <v>1</v>
      </c>
      <c r="C4" t="s">
        <v>209</v>
      </c>
    </row>
    <row r="5" spans="1:12" x14ac:dyDescent="0.4">
      <c r="A5" t="s">
        <v>93</v>
      </c>
      <c r="B5" t="s">
        <v>1</v>
      </c>
      <c r="C5" s="2" t="s">
        <v>94</v>
      </c>
    </row>
    <row r="6" spans="1:12" x14ac:dyDescent="0.4">
      <c r="A6" t="s">
        <v>93</v>
      </c>
      <c r="B6" t="s">
        <v>1</v>
      </c>
      <c r="C6" s="2" t="s">
        <v>95</v>
      </c>
    </row>
    <row r="7" spans="1:12" x14ac:dyDescent="0.4">
      <c r="A7" t="s">
        <v>93</v>
      </c>
      <c r="B7" t="s">
        <v>1</v>
      </c>
      <c r="C7" s="2" t="s">
        <v>96</v>
      </c>
    </row>
    <row r="8" spans="1:12" x14ac:dyDescent="0.4">
      <c r="A8" t="s">
        <v>93</v>
      </c>
      <c r="B8" t="s">
        <v>1</v>
      </c>
      <c r="C8" s="2" t="s">
        <v>97</v>
      </c>
    </row>
    <row r="9" spans="1:12" x14ac:dyDescent="0.4">
      <c r="A9" t="s">
        <v>93</v>
      </c>
      <c r="B9" t="s">
        <v>4</v>
      </c>
      <c r="C9" s="2" t="s">
        <v>98</v>
      </c>
    </row>
    <row r="10" spans="1:12" x14ac:dyDescent="0.4">
      <c r="A10" t="s">
        <v>93</v>
      </c>
      <c r="B10" t="s">
        <v>4</v>
      </c>
      <c r="C10" s="7" t="s">
        <v>99</v>
      </c>
      <c r="J10" t="s">
        <v>130</v>
      </c>
      <c r="K10" t="s">
        <v>1</v>
      </c>
      <c r="L10" t="s">
        <v>131</v>
      </c>
    </row>
    <row r="11" spans="1:12" x14ac:dyDescent="0.4">
      <c r="A11" t="s">
        <v>93</v>
      </c>
      <c r="B11" t="s">
        <v>1</v>
      </c>
      <c r="C11" s="7" t="s">
        <v>100</v>
      </c>
      <c r="J11" t="s">
        <v>130</v>
      </c>
      <c r="K11" t="s">
        <v>4</v>
      </c>
      <c r="L11" t="s">
        <v>132</v>
      </c>
    </row>
    <row r="12" spans="1:12" x14ac:dyDescent="0.4">
      <c r="A12" t="s">
        <v>93</v>
      </c>
      <c r="B12" t="s">
        <v>4</v>
      </c>
      <c r="C12" s="6" t="s">
        <v>101</v>
      </c>
    </row>
    <row r="16" spans="1:12" x14ac:dyDescent="0.4">
      <c r="A16" t="s">
        <v>210</v>
      </c>
      <c r="B16" t="s">
        <v>1</v>
      </c>
      <c r="C16" s="2" t="s">
        <v>211</v>
      </c>
    </row>
    <row r="17" spans="1:12" x14ac:dyDescent="0.4">
      <c r="A17" t="s">
        <v>210</v>
      </c>
      <c r="B17" t="s">
        <v>4</v>
      </c>
      <c r="C17" s="2" t="s">
        <v>212</v>
      </c>
    </row>
    <row r="18" spans="1:12" x14ac:dyDescent="0.4">
      <c r="A18" t="s">
        <v>210</v>
      </c>
      <c r="B18" t="s">
        <v>1</v>
      </c>
      <c r="C18" s="2" t="s">
        <v>213</v>
      </c>
    </row>
    <row r="19" spans="1:12" x14ac:dyDescent="0.4">
      <c r="A19" t="s">
        <v>210</v>
      </c>
      <c r="B19" t="s">
        <v>4</v>
      </c>
      <c r="C19" s="7" t="s">
        <v>214</v>
      </c>
    </row>
    <row r="20" spans="1:12" x14ac:dyDescent="0.4">
      <c r="A20" t="s">
        <v>210</v>
      </c>
      <c r="B20" t="s">
        <v>1</v>
      </c>
      <c r="C20" s="7" t="s">
        <v>215</v>
      </c>
    </row>
    <row r="21" spans="1:12" x14ac:dyDescent="0.4">
      <c r="A21" t="s">
        <v>210</v>
      </c>
      <c r="B21" t="s">
        <v>4</v>
      </c>
      <c r="C21" s="6" t="s">
        <v>216</v>
      </c>
    </row>
    <row r="22" spans="1:12" x14ac:dyDescent="0.4">
      <c r="A22" t="s">
        <v>210</v>
      </c>
      <c r="B22" t="s">
        <v>1</v>
      </c>
      <c r="C22" s="2" t="s">
        <v>217</v>
      </c>
      <c r="J22" t="s">
        <v>171</v>
      </c>
      <c r="K22" t="s">
        <v>4</v>
      </c>
      <c r="L22" t="s">
        <v>232</v>
      </c>
    </row>
    <row r="23" spans="1:12" x14ac:dyDescent="0.4">
      <c r="A23" t="s">
        <v>210</v>
      </c>
      <c r="B23" t="s">
        <v>4</v>
      </c>
      <c r="C23" s="2" t="s">
        <v>218</v>
      </c>
      <c r="J23" t="s">
        <v>171</v>
      </c>
      <c r="K23" t="s">
        <v>1</v>
      </c>
      <c r="L23" t="s">
        <v>231</v>
      </c>
    </row>
    <row r="24" spans="1:12" x14ac:dyDescent="0.4">
      <c r="A24" t="s">
        <v>210</v>
      </c>
      <c r="B24" t="s">
        <v>1</v>
      </c>
      <c r="C24" s="2" t="s">
        <v>219</v>
      </c>
    </row>
    <row r="25" spans="1:12" x14ac:dyDescent="0.4">
      <c r="A25" t="s">
        <v>210</v>
      </c>
      <c r="B25" t="s">
        <v>1</v>
      </c>
      <c r="C25" s="3" t="s">
        <v>220</v>
      </c>
    </row>
    <row r="28" spans="1:12" x14ac:dyDescent="0.4">
      <c r="A28" t="s">
        <v>221</v>
      </c>
      <c r="B28" t="s">
        <v>1</v>
      </c>
      <c r="C28" s="2" t="s">
        <v>222</v>
      </c>
    </row>
    <row r="29" spans="1:12" x14ac:dyDescent="0.4">
      <c r="A29" t="s">
        <v>221</v>
      </c>
      <c r="B29" t="s">
        <v>4</v>
      </c>
      <c r="C29" s="7" t="s">
        <v>223</v>
      </c>
    </row>
    <row r="30" spans="1:12" x14ac:dyDescent="0.4">
      <c r="A30" t="s">
        <v>221</v>
      </c>
      <c r="B30" t="s">
        <v>1</v>
      </c>
      <c r="C30" s="7" t="s">
        <v>224</v>
      </c>
    </row>
    <row r="31" spans="1:12" x14ac:dyDescent="0.4">
      <c r="A31" t="s">
        <v>221</v>
      </c>
      <c r="B31" t="s">
        <v>4</v>
      </c>
      <c r="C31" s="6" t="s">
        <v>225</v>
      </c>
    </row>
    <row r="32" spans="1:12" x14ac:dyDescent="0.4">
      <c r="A32" t="s">
        <v>221</v>
      </c>
      <c r="B32" t="s">
        <v>1</v>
      </c>
      <c r="C32" s="2" t="s">
        <v>226</v>
      </c>
    </row>
    <row r="33" spans="1:3" x14ac:dyDescent="0.4">
      <c r="A33" t="s">
        <v>221</v>
      </c>
      <c r="B33" t="s">
        <v>4</v>
      </c>
      <c r="C33" s="2" t="s">
        <v>227</v>
      </c>
    </row>
    <row r="34" spans="1:3" x14ac:dyDescent="0.4">
      <c r="A34" t="s">
        <v>221</v>
      </c>
      <c r="B34" t="s">
        <v>1</v>
      </c>
      <c r="C34" s="2" t="s">
        <v>228</v>
      </c>
    </row>
    <row r="35" spans="1:3" x14ac:dyDescent="0.4">
      <c r="A35" t="s">
        <v>221</v>
      </c>
      <c r="B35" t="s">
        <v>1</v>
      </c>
      <c r="C35" s="2" t="s">
        <v>229</v>
      </c>
    </row>
    <row r="36" spans="1:3" x14ac:dyDescent="0.4">
      <c r="A36" t="s">
        <v>221</v>
      </c>
      <c r="B36" t="s">
        <v>1</v>
      </c>
      <c r="C36" s="3" t="s">
        <v>230</v>
      </c>
    </row>
    <row r="38" spans="1:3" x14ac:dyDescent="0.4">
      <c r="A38" t="s">
        <v>233</v>
      </c>
    </row>
    <row r="39" spans="1:3" x14ac:dyDescent="0.4">
      <c r="A39" t="s">
        <v>234</v>
      </c>
    </row>
    <row r="40" spans="1:3" x14ac:dyDescent="0.4">
      <c r="A40" t="s">
        <v>235</v>
      </c>
    </row>
    <row r="42" spans="1:3" x14ac:dyDescent="0.4">
      <c r="A42" t="s">
        <v>171</v>
      </c>
      <c r="B42" t="s">
        <v>4</v>
      </c>
      <c r="C42" t="s">
        <v>236</v>
      </c>
    </row>
    <row r="43" spans="1:3" x14ac:dyDescent="0.4">
      <c r="A43" t="s">
        <v>8</v>
      </c>
      <c r="B43" t="s">
        <v>1</v>
      </c>
      <c r="C43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AB579-754B-4371-97BF-D67671DF0DCE}">
  <dimension ref="A2:C9"/>
  <sheetViews>
    <sheetView workbookViewId="0">
      <selection activeCell="C3" sqref="C3"/>
    </sheetView>
  </sheetViews>
  <sheetFormatPr defaultRowHeight="14.6" x14ac:dyDescent="0.4"/>
  <cols>
    <col min="1" max="1" width="28.765625" customWidth="1"/>
  </cols>
  <sheetData>
    <row r="2" spans="1:3" x14ac:dyDescent="0.4">
      <c r="A2" t="s">
        <v>237</v>
      </c>
      <c r="B2" t="s">
        <v>1</v>
      </c>
      <c r="C2" t="s">
        <v>238</v>
      </c>
    </row>
    <row r="3" spans="1:3" x14ac:dyDescent="0.4">
      <c r="A3" t="s">
        <v>237</v>
      </c>
      <c r="B3" t="s">
        <v>4</v>
      </c>
      <c r="C3" t="s">
        <v>239</v>
      </c>
    </row>
    <row r="4" spans="1:3" x14ac:dyDescent="0.4">
      <c r="A4" t="s">
        <v>240</v>
      </c>
      <c r="B4" t="s">
        <v>4</v>
      </c>
      <c r="C4" t="s">
        <v>241</v>
      </c>
    </row>
    <row r="5" spans="1:3" x14ac:dyDescent="0.4">
      <c r="A5" t="s">
        <v>240</v>
      </c>
      <c r="B5" t="s">
        <v>4</v>
      </c>
      <c r="C5" t="s">
        <v>242</v>
      </c>
    </row>
    <row r="6" spans="1:3" x14ac:dyDescent="0.4">
      <c r="A6" t="s">
        <v>133</v>
      </c>
      <c r="B6" t="s">
        <v>1</v>
      </c>
      <c r="C6" t="s">
        <v>243</v>
      </c>
    </row>
    <row r="7" spans="1:3" x14ac:dyDescent="0.4">
      <c r="A7" t="s">
        <v>133</v>
      </c>
      <c r="B7" t="s">
        <v>4</v>
      </c>
      <c r="C7" t="s">
        <v>134</v>
      </c>
    </row>
    <row r="8" spans="1:3" x14ac:dyDescent="0.4">
      <c r="A8" t="s">
        <v>244</v>
      </c>
      <c r="B8" t="s">
        <v>4</v>
      </c>
      <c r="C8" t="s">
        <v>245</v>
      </c>
    </row>
    <row r="9" spans="1:3" x14ac:dyDescent="0.4">
      <c r="A9" t="s">
        <v>244</v>
      </c>
      <c r="B9" t="s">
        <v>4</v>
      </c>
      <c r="C9" t="s">
        <v>246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38E98-FD71-432F-BE75-6F13C65DEC96}">
  <dimension ref="A1:C15"/>
  <sheetViews>
    <sheetView tabSelected="1" workbookViewId="0">
      <selection activeCell="A12" sqref="A12"/>
    </sheetView>
  </sheetViews>
  <sheetFormatPr defaultRowHeight="14.6" x14ac:dyDescent="0.4"/>
  <sheetData>
    <row r="1" spans="1:3" x14ac:dyDescent="0.4">
      <c r="A1">
        <v>657</v>
      </c>
      <c r="C1">
        <v>618</v>
      </c>
    </row>
    <row r="2" spans="1:3" x14ac:dyDescent="0.4">
      <c r="A2" t="s">
        <v>247</v>
      </c>
    </row>
    <row r="3" spans="1:3" x14ac:dyDescent="0.4">
      <c r="A3" t="s">
        <v>248</v>
      </c>
    </row>
    <row r="4" spans="1:3" x14ac:dyDescent="0.4">
      <c r="A4" t="s">
        <v>249</v>
      </c>
    </row>
    <row r="5" spans="1:3" x14ac:dyDescent="0.4">
      <c r="A5" t="s">
        <v>250</v>
      </c>
    </row>
    <row r="6" spans="1:3" x14ac:dyDescent="0.4">
      <c r="A6" t="s">
        <v>251</v>
      </c>
    </row>
    <row r="7" spans="1:3" x14ac:dyDescent="0.4">
      <c r="A7" t="s">
        <v>252</v>
      </c>
    </row>
    <row r="8" spans="1:3" x14ac:dyDescent="0.4">
      <c r="A8" t="s">
        <v>253</v>
      </c>
    </row>
    <row r="9" spans="1:3" x14ac:dyDescent="0.4">
      <c r="A9" t="s">
        <v>254</v>
      </c>
    </row>
    <row r="10" spans="1:3" x14ac:dyDescent="0.4">
      <c r="A10">
        <f>A1-8</f>
        <v>649</v>
      </c>
    </row>
    <row r="11" spans="1:3" x14ac:dyDescent="0.4">
      <c r="A11" t="s">
        <v>258</v>
      </c>
    </row>
    <row r="12" spans="1:3" x14ac:dyDescent="0.4">
      <c r="A12" t="s">
        <v>255</v>
      </c>
    </row>
    <row r="13" spans="1:3" x14ac:dyDescent="0.4">
      <c r="A13" t="s">
        <v>256</v>
      </c>
    </row>
    <row r="14" spans="1:3" x14ac:dyDescent="0.4">
      <c r="A14" t="s">
        <v>257</v>
      </c>
    </row>
    <row r="15" spans="1:3" x14ac:dyDescent="0.4">
      <c r="A15">
        <v>645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79CF-3B82-4249-B1B7-FB8EB11A1085}">
  <dimension ref="A1:C27"/>
  <sheetViews>
    <sheetView workbookViewId="0">
      <selection sqref="A1:C27"/>
    </sheetView>
  </sheetViews>
  <sheetFormatPr defaultRowHeight="14.6" x14ac:dyDescent="0.4"/>
  <sheetData>
    <row r="1" spans="1:3" x14ac:dyDescent="0.4">
      <c r="A1" t="s">
        <v>44</v>
      </c>
      <c r="B1" t="s">
        <v>1</v>
      </c>
      <c r="C1" t="s">
        <v>45</v>
      </c>
    </row>
    <row r="2" spans="1:3" x14ac:dyDescent="0.4">
      <c r="A2" t="s">
        <v>44</v>
      </c>
      <c r="B2" t="s">
        <v>1</v>
      </c>
      <c r="C2" t="s">
        <v>46</v>
      </c>
    </row>
    <row r="3" spans="1:3" x14ac:dyDescent="0.4">
      <c r="A3" t="s">
        <v>44</v>
      </c>
      <c r="B3" t="s">
        <v>4</v>
      </c>
      <c r="C3" t="s">
        <v>47</v>
      </c>
    </row>
    <row r="4" spans="1:3" x14ac:dyDescent="0.4">
      <c r="A4" t="s">
        <v>44</v>
      </c>
      <c r="B4" t="s">
        <v>1</v>
      </c>
      <c r="C4" t="s">
        <v>48</v>
      </c>
    </row>
    <row r="5" spans="1:3" x14ac:dyDescent="0.4">
      <c r="A5" t="s">
        <v>44</v>
      </c>
      <c r="B5" t="s">
        <v>1</v>
      </c>
      <c r="C5" t="s">
        <v>49</v>
      </c>
    </row>
    <row r="6" spans="1:3" x14ac:dyDescent="0.4">
      <c r="A6" t="s">
        <v>44</v>
      </c>
      <c r="B6" t="s">
        <v>1</v>
      </c>
      <c r="C6" t="s">
        <v>50</v>
      </c>
    </row>
    <row r="7" spans="1:3" x14ac:dyDescent="0.4">
      <c r="A7" t="s">
        <v>44</v>
      </c>
      <c r="B7" t="s">
        <v>4</v>
      </c>
      <c r="C7" t="s">
        <v>51</v>
      </c>
    </row>
    <row r="8" spans="1:3" x14ac:dyDescent="0.4">
      <c r="A8" t="s">
        <v>44</v>
      </c>
      <c r="B8" t="s">
        <v>1</v>
      </c>
      <c r="C8" t="s">
        <v>52</v>
      </c>
    </row>
    <row r="9" spans="1:3" x14ac:dyDescent="0.4">
      <c r="A9" t="s">
        <v>44</v>
      </c>
      <c r="B9" t="s">
        <v>1</v>
      </c>
      <c r="C9" t="s">
        <v>53</v>
      </c>
    </row>
    <row r="10" spans="1:3" x14ac:dyDescent="0.4">
      <c r="A10" t="s">
        <v>44</v>
      </c>
      <c r="B10" t="s">
        <v>1</v>
      </c>
      <c r="C10" t="s">
        <v>54</v>
      </c>
    </row>
    <row r="11" spans="1:3" x14ac:dyDescent="0.4">
      <c r="A11" t="s">
        <v>44</v>
      </c>
      <c r="B11" t="s">
        <v>4</v>
      </c>
      <c r="C11" t="s">
        <v>55</v>
      </c>
    </row>
    <row r="12" spans="1:3" x14ac:dyDescent="0.4">
      <c r="A12" t="s">
        <v>44</v>
      </c>
      <c r="B12" t="s">
        <v>1</v>
      </c>
      <c r="C12" t="s">
        <v>56</v>
      </c>
    </row>
    <row r="13" spans="1:3" x14ac:dyDescent="0.4">
      <c r="A13" t="s">
        <v>57</v>
      </c>
      <c r="B13" t="s">
        <v>1</v>
      </c>
      <c r="C13" t="s">
        <v>58</v>
      </c>
    </row>
    <row r="14" spans="1:3" x14ac:dyDescent="0.4">
      <c r="A14" t="s">
        <v>57</v>
      </c>
      <c r="B14" t="s">
        <v>1</v>
      </c>
      <c r="C14" t="s">
        <v>59</v>
      </c>
    </row>
    <row r="15" spans="1:3" x14ac:dyDescent="0.4">
      <c r="A15" t="s">
        <v>57</v>
      </c>
      <c r="B15" t="s">
        <v>1</v>
      </c>
      <c r="C15" t="s">
        <v>60</v>
      </c>
    </row>
    <row r="16" spans="1:3" x14ac:dyDescent="0.4">
      <c r="A16" t="s">
        <v>57</v>
      </c>
      <c r="B16" t="s">
        <v>4</v>
      </c>
      <c r="C16" t="s">
        <v>61</v>
      </c>
    </row>
    <row r="17" spans="1:3" x14ac:dyDescent="0.4">
      <c r="A17" t="s">
        <v>57</v>
      </c>
      <c r="B17" t="s">
        <v>1</v>
      </c>
      <c r="C17" t="s">
        <v>62</v>
      </c>
    </row>
    <row r="18" spans="1:3" x14ac:dyDescent="0.4">
      <c r="A18" t="s">
        <v>57</v>
      </c>
      <c r="B18" t="s">
        <v>1</v>
      </c>
      <c r="C18" t="s">
        <v>63</v>
      </c>
    </row>
    <row r="19" spans="1:3" x14ac:dyDescent="0.4">
      <c r="A19" t="s">
        <v>57</v>
      </c>
      <c r="B19" t="s">
        <v>1</v>
      </c>
      <c r="C19" t="s">
        <v>64</v>
      </c>
    </row>
    <row r="20" spans="1:3" x14ac:dyDescent="0.4">
      <c r="A20" t="s">
        <v>57</v>
      </c>
      <c r="B20" t="s">
        <v>1</v>
      </c>
      <c r="C20" t="s">
        <v>65</v>
      </c>
    </row>
    <row r="21" spans="1:3" x14ac:dyDescent="0.4">
      <c r="A21" t="s">
        <v>57</v>
      </c>
      <c r="B21" t="s">
        <v>4</v>
      </c>
      <c r="C21" t="s">
        <v>66</v>
      </c>
    </row>
    <row r="22" spans="1:3" x14ac:dyDescent="0.4">
      <c r="A22" t="s">
        <v>57</v>
      </c>
      <c r="B22" t="s">
        <v>1</v>
      </c>
      <c r="C22" t="s">
        <v>67</v>
      </c>
    </row>
    <row r="23" spans="1:3" x14ac:dyDescent="0.4">
      <c r="A23" t="s">
        <v>57</v>
      </c>
      <c r="B23" t="s">
        <v>1</v>
      </c>
      <c r="C23" t="s">
        <v>68</v>
      </c>
    </row>
    <row r="24" spans="1:3" x14ac:dyDescent="0.4">
      <c r="A24" t="s">
        <v>57</v>
      </c>
      <c r="B24" t="s">
        <v>1</v>
      </c>
      <c r="C24" t="s">
        <v>69</v>
      </c>
    </row>
    <row r="25" spans="1:3" x14ac:dyDescent="0.4">
      <c r="A25" t="s">
        <v>57</v>
      </c>
      <c r="B25" t="s">
        <v>1</v>
      </c>
      <c r="C25" t="s">
        <v>70</v>
      </c>
    </row>
    <row r="26" spans="1:3" x14ac:dyDescent="0.4">
      <c r="A26" t="s">
        <v>57</v>
      </c>
      <c r="B26" t="s">
        <v>4</v>
      </c>
      <c r="C26" t="s">
        <v>71</v>
      </c>
    </row>
    <row r="27" spans="1:3" x14ac:dyDescent="0.4">
      <c r="A27" t="s">
        <v>57</v>
      </c>
      <c r="B27" t="s">
        <v>1</v>
      </c>
      <c r="C27" t="s">
        <v>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1D95E-FE25-4BAF-8813-72FDE88AAD31}">
  <dimension ref="A2:C41"/>
  <sheetViews>
    <sheetView workbookViewId="0">
      <selection activeCell="A39" sqref="A39:C41"/>
    </sheetView>
  </sheetViews>
  <sheetFormatPr defaultRowHeight="14.6" x14ac:dyDescent="0.4"/>
  <cols>
    <col min="1" max="1" width="27.765625" bestFit="1" customWidth="1"/>
    <col min="2" max="2" width="1.84375" bestFit="1" customWidth="1"/>
    <col min="3" max="3" width="94.84375" bestFit="1" customWidth="1"/>
  </cols>
  <sheetData>
    <row r="2" spans="1:3" x14ac:dyDescent="0.4">
      <c r="A2" t="s">
        <v>44</v>
      </c>
      <c r="B2" t="s">
        <v>1</v>
      </c>
      <c r="C2" t="s">
        <v>45</v>
      </c>
    </row>
    <row r="3" spans="1:3" x14ac:dyDescent="0.4">
      <c r="A3" t="s">
        <v>44</v>
      </c>
      <c r="B3" t="s">
        <v>1</v>
      </c>
      <c r="C3" t="s">
        <v>46</v>
      </c>
    </row>
    <row r="4" spans="1:3" x14ac:dyDescent="0.4">
      <c r="A4" t="s">
        <v>44</v>
      </c>
      <c r="B4" t="s">
        <v>4</v>
      </c>
      <c r="C4" t="s">
        <v>47</v>
      </c>
    </row>
    <row r="5" spans="1:3" x14ac:dyDescent="0.4">
      <c r="A5" t="s">
        <v>44</v>
      </c>
      <c r="B5" t="s">
        <v>1</v>
      </c>
      <c r="C5" t="s">
        <v>48</v>
      </c>
    </row>
    <row r="6" spans="1:3" x14ac:dyDescent="0.4">
      <c r="A6" t="s">
        <v>44</v>
      </c>
      <c r="B6" t="s">
        <v>1</v>
      </c>
      <c r="C6" t="s">
        <v>49</v>
      </c>
    </row>
    <row r="7" spans="1:3" x14ac:dyDescent="0.4">
      <c r="A7" t="s">
        <v>44</v>
      </c>
      <c r="B7" t="s">
        <v>1</v>
      </c>
      <c r="C7" t="s">
        <v>50</v>
      </c>
    </row>
    <row r="8" spans="1:3" x14ac:dyDescent="0.4">
      <c r="A8" t="s">
        <v>44</v>
      </c>
      <c r="B8" t="s">
        <v>4</v>
      </c>
      <c r="C8" t="s">
        <v>51</v>
      </c>
    </row>
    <row r="9" spans="1:3" x14ac:dyDescent="0.4">
      <c r="A9" t="s">
        <v>44</v>
      </c>
      <c r="B9" t="s">
        <v>1</v>
      </c>
      <c r="C9" t="s">
        <v>52</v>
      </c>
    </row>
    <row r="10" spans="1:3" x14ac:dyDescent="0.4">
      <c r="A10" t="s">
        <v>44</v>
      </c>
      <c r="B10" t="s">
        <v>1</v>
      </c>
      <c r="C10" t="s">
        <v>53</v>
      </c>
    </row>
    <row r="11" spans="1:3" x14ac:dyDescent="0.4">
      <c r="A11" t="s">
        <v>44</v>
      </c>
      <c r="B11" t="s">
        <v>1</v>
      </c>
      <c r="C11" t="s">
        <v>54</v>
      </c>
    </row>
    <row r="12" spans="1:3" x14ac:dyDescent="0.4">
      <c r="A12" t="s">
        <v>44</v>
      </c>
      <c r="B12" t="s">
        <v>4</v>
      </c>
      <c r="C12" t="s">
        <v>55</v>
      </c>
    </row>
    <row r="13" spans="1:3" x14ac:dyDescent="0.4">
      <c r="A13" t="s">
        <v>44</v>
      </c>
      <c r="B13" t="s">
        <v>1</v>
      </c>
      <c r="C13" t="s">
        <v>56</v>
      </c>
    </row>
    <row r="14" spans="1:3" x14ac:dyDescent="0.4">
      <c r="A14" t="s">
        <v>57</v>
      </c>
      <c r="B14" t="s">
        <v>1</v>
      </c>
      <c r="C14" t="s">
        <v>58</v>
      </c>
    </row>
    <row r="15" spans="1:3" x14ac:dyDescent="0.4">
      <c r="A15" t="s">
        <v>57</v>
      </c>
      <c r="B15" t="s">
        <v>1</v>
      </c>
      <c r="C15" t="s">
        <v>59</v>
      </c>
    </row>
    <row r="16" spans="1:3" x14ac:dyDescent="0.4">
      <c r="A16" t="s">
        <v>57</v>
      </c>
      <c r="B16" t="s">
        <v>1</v>
      </c>
      <c r="C16" t="s">
        <v>60</v>
      </c>
    </row>
    <row r="17" spans="1:3" x14ac:dyDescent="0.4">
      <c r="A17" t="s">
        <v>57</v>
      </c>
      <c r="B17" t="s">
        <v>4</v>
      </c>
      <c r="C17" t="s">
        <v>61</v>
      </c>
    </row>
    <row r="18" spans="1:3" x14ac:dyDescent="0.4">
      <c r="A18" t="s">
        <v>57</v>
      </c>
      <c r="B18" t="s">
        <v>1</v>
      </c>
      <c r="C18" t="s">
        <v>62</v>
      </c>
    </row>
    <row r="19" spans="1:3" x14ac:dyDescent="0.4">
      <c r="A19" t="s">
        <v>57</v>
      </c>
      <c r="B19" t="s">
        <v>1</v>
      </c>
      <c r="C19" t="s">
        <v>63</v>
      </c>
    </row>
    <row r="20" spans="1:3" x14ac:dyDescent="0.4">
      <c r="A20" t="s">
        <v>57</v>
      </c>
      <c r="B20" t="s">
        <v>1</v>
      </c>
      <c r="C20" t="s">
        <v>64</v>
      </c>
    </row>
    <row r="21" spans="1:3" x14ac:dyDescent="0.4">
      <c r="A21" t="s">
        <v>57</v>
      </c>
      <c r="B21" t="s">
        <v>1</v>
      </c>
      <c r="C21" t="s">
        <v>65</v>
      </c>
    </row>
    <row r="22" spans="1:3" x14ac:dyDescent="0.4">
      <c r="A22" t="s">
        <v>57</v>
      </c>
      <c r="B22" t="s">
        <v>4</v>
      </c>
      <c r="C22" t="s">
        <v>66</v>
      </c>
    </row>
    <row r="23" spans="1:3" x14ac:dyDescent="0.4">
      <c r="A23" t="s">
        <v>57</v>
      </c>
      <c r="B23" t="s">
        <v>1</v>
      </c>
      <c r="C23" t="s">
        <v>67</v>
      </c>
    </row>
    <row r="24" spans="1:3" x14ac:dyDescent="0.4">
      <c r="A24" t="s">
        <v>57</v>
      </c>
      <c r="B24" t="s">
        <v>1</v>
      </c>
      <c r="C24" t="s">
        <v>68</v>
      </c>
    </row>
    <row r="25" spans="1:3" x14ac:dyDescent="0.4">
      <c r="A25" t="s">
        <v>57</v>
      </c>
      <c r="B25" t="s">
        <v>1</v>
      </c>
      <c r="C25" t="s">
        <v>69</v>
      </c>
    </row>
    <row r="26" spans="1:3" x14ac:dyDescent="0.4">
      <c r="A26" t="s">
        <v>57</v>
      </c>
      <c r="B26" t="s">
        <v>1</v>
      </c>
      <c r="C26" t="s">
        <v>70</v>
      </c>
    </row>
    <row r="27" spans="1:3" x14ac:dyDescent="0.4">
      <c r="A27" t="s">
        <v>57</v>
      </c>
      <c r="B27" t="s">
        <v>4</v>
      </c>
      <c r="C27" t="s">
        <v>71</v>
      </c>
    </row>
    <row r="28" spans="1:3" x14ac:dyDescent="0.4">
      <c r="A28" t="s">
        <v>57</v>
      </c>
      <c r="B28" t="s">
        <v>1</v>
      </c>
      <c r="C28" t="s">
        <v>72</v>
      </c>
    </row>
    <row r="30" spans="1:3" x14ac:dyDescent="0.4">
      <c r="A30" t="s">
        <v>73</v>
      </c>
      <c r="B30" t="s">
        <v>1</v>
      </c>
      <c r="C30" t="s">
        <v>74</v>
      </c>
    </row>
    <row r="31" spans="1:3" x14ac:dyDescent="0.4">
      <c r="A31" t="s">
        <v>73</v>
      </c>
      <c r="B31" t="s">
        <v>1</v>
      </c>
      <c r="C31" t="s">
        <v>75</v>
      </c>
    </row>
    <row r="33" spans="1:3" x14ac:dyDescent="0.4">
      <c r="A33" t="s">
        <v>76</v>
      </c>
      <c r="B33" t="s">
        <v>4</v>
      </c>
      <c r="C33" t="s">
        <v>77</v>
      </c>
    </row>
    <row r="34" spans="1:3" x14ac:dyDescent="0.4">
      <c r="A34" t="s">
        <v>76</v>
      </c>
      <c r="B34" t="s">
        <v>4</v>
      </c>
      <c r="C34" t="s">
        <v>78</v>
      </c>
    </row>
    <row r="36" spans="1:3" x14ac:dyDescent="0.4">
      <c r="A36" t="s">
        <v>76</v>
      </c>
      <c r="B36" t="s">
        <v>4</v>
      </c>
      <c r="C36" t="s">
        <v>77</v>
      </c>
    </row>
    <row r="37" spans="1:3" x14ac:dyDescent="0.4">
      <c r="A37" t="s">
        <v>76</v>
      </c>
      <c r="B37" t="s">
        <v>4</v>
      </c>
      <c r="C37" t="s">
        <v>78</v>
      </c>
    </row>
    <row r="39" spans="1:3" x14ac:dyDescent="0.4">
      <c r="A39" t="s">
        <v>79</v>
      </c>
      <c r="B39" t="s">
        <v>1</v>
      </c>
      <c r="C39" t="s">
        <v>80</v>
      </c>
    </row>
    <row r="40" spans="1:3" x14ac:dyDescent="0.4">
      <c r="A40" t="s">
        <v>79</v>
      </c>
      <c r="B40" t="s">
        <v>1</v>
      </c>
      <c r="C40" t="s">
        <v>81</v>
      </c>
    </row>
    <row r="41" spans="1:3" x14ac:dyDescent="0.4">
      <c r="A41" t="s">
        <v>79</v>
      </c>
      <c r="B41" t="s">
        <v>1</v>
      </c>
      <c r="C41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CLup</vt:lpstr>
      <vt:lpstr>central</vt:lpstr>
      <vt:lpstr>PVS</vt:lpstr>
      <vt:lpstr>Unused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Elbert</dc:creator>
  <cp:lastModifiedBy>Don Elbert</cp:lastModifiedBy>
  <dcterms:created xsi:type="dcterms:W3CDTF">2025-07-16T19:45:52Z</dcterms:created>
  <dcterms:modified xsi:type="dcterms:W3CDTF">2025-07-18T22:31:59Z</dcterms:modified>
</cp:coreProperties>
</file>