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1_{1026F37F-BF24-4302-B81A-7569A3DC62D2}" xr6:coauthVersionLast="47" xr6:coauthVersionMax="47" xr10:uidLastSave="{00000000-0000-0000-0000-000000000000}"/>
  <bookViews>
    <workbookView xWindow="13836" yWindow="0" windowWidth="9300" windowHeight="12336" xr2:uid="{E10206A9-01FD-4CD1-97F6-1EB9B3D26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K30" i="1"/>
  <c r="M27" i="1"/>
  <c r="M18" i="1"/>
  <c r="M25" i="1" s="1"/>
  <c r="K25" i="1"/>
  <c r="K24" i="1"/>
  <c r="M24" i="1"/>
  <c r="M23" i="1"/>
  <c r="M22" i="1"/>
  <c r="M21" i="1"/>
  <c r="M20" i="1"/>
  <c r="M16" i="1"/>
  <c r="M14" i="1"/>
  <c r="M11" i="1"/>
  <c r="M10" i="1"/>
  <c r="M9" i="1"/>
  <c r="M7" i="1"/>
  <c r="M6" i="1"/>
  <c r="M3" i="1"/>
  <c r="M2" i="1"/>
  <c r="M1" i="1"/>
  <c r="K18" i="1"/>
  <c r="G18" i="1"/>
  <c r="L26" i="1" l="1"/>
</calcChain>
</file>

<file path=xl/sharedStrings.xml><?xml version="1.0" encoding="utf-8"?>
<sst xmlns="http://schemas.openxmlformats.org/spreadsheetml/2006/main" count="95" uniqueCount="51">
  <si>
    <t>C_LNLF</t>
  </si>
  <si>
    <t>Q_Brain</t>
  </si>
  <si>
    <t>Q_BrainECF</t>
  </si>
  <si>
    <t>Q_CSF</t>
  </si>
  <si>
    <t>Q_Adipose</t>
  </si>
  <si>
    <t>=</t>
  </si>
  <si>
    <t>Q_Bone</t>
  </si>
  <si>
    <t>Q_Heart</t>
  </si>
  <si>
    <t>Q_Kidney</t>
  </si>
  <si>
    <t>Q_LI</t>
  </si>
  <si>
    <t>Q_Liver</t>
  </si>
  <si>
    <t>Q_Muscle</t>
  </si>
  <si>
    <t>Q_Other</t>
  </si>
  <si>
    <t>Q_Pancreas</t>
  </si>
  <si>
    <t>Q_SI</t>
  </si>
  <si>
    <t>Q_Skin</t>
  </si>
  <si>
    <t>Q_Spleen</t>
  </si>
  <si>
    <t>Q_Thymus</t>
  </si>
  <si>
    <t>Q_plasma</t>
  </si>
  <si>
    <t>Lymph/plasma Blooming</t>
  </si>
  <si>
    <t>mouse</t>
  </si>
  <si>
    <t>human</t>
  </si>
  <si>
    <t>Bloomingdale Qlung</t>
  </si>
  <si>
    <t>Qlung</t>
  </si>
  <si>
    <t>Qplasma</t>
  </si>
  <si>
    <t>L_Adipose</t>
  </si>
  <si>
    <t>L_Bone</t>
  </si>
  <si>
    <t>L_Brain</t>
  </si>
  <si>
    <t>L_Heart</t>
  </si>
  <si>
    <t>L_Kidney</t>
  </si>
  <si>
    <t>L_Liver</t>
  </si>
  <si>
    <t>L_Muscle</t>
  </si>
  <si>
    <t>L_Other</t>
  </si>
  <si>
    <t>L_Skin</t>
  </si>
  <si>
    <t>L_Thymus</t>
  </si>
  <si>
    <t>L_plasma</t>
  </si>
  <si>
    <t>L_LI</t>
  </si>
  <si>
    <t>L_Pancreas</t>
  </si>
  <si>
    <t>L_SI</t>
  </si>
  <si>
    <t>L_Spleen</t>
  </si>
  <si>
    <t>Q_LymphNode</t>
  </si>
  <si>
    <t>dCP/dt</t>
  </si>
  <si>
    <t>LLN*CLN</t>
  </si>
  <si>
    <t>-(Qlung_P + Llung)*CP</t>
  </si>
  <si>
    <t>(Qbrain_P - Lbrain)*Cbrain_P</t>
  </si>
  <si>
    <t>Lbrain</t>
  </si>
  <si>
    <t>Qbrain_CSF+Qbrain_ISF</t>
  </si>
  <si>
    <t>dCLN/dt</t>
  </si>
  <si>
    <t>(1-Rclung_L)*Llung*Clung_IS</t>
  </si>
  <si>
    <t>-LLN*CLN</t>
  </si>
  <si>
    <t>proportionalitylymph node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</si>
</sst>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57B2-3350-4525-80D4-32FB6C73526E}">
  <dimension ref="A1:S31"/>
  <sheetViews>
    <sheetView tabSelected="1" workbookViewId="0">
      <selection activeCell="A3" sqref="A3"/>
    </sheetView>
  </sheetViews>
  <sheetFormatPr defaultRowHeight="14.4" x14ac:dyDescent="0.3"/>
  <sheetData>
    <row r="1" spans="1:19" x14ac:dyDescent="0.3">
      <c r="D1" t="s">
        <v>20</v>
      </c>
      <c r="E1" t="s">
        <v>4</v>
      </c>
      <c r="F1" t="s">
        <v>5</v>
      </c>
      <c r="G1">
        <v>1.34E-2</v>
      </c>
      <c r="H1" t="s">
        <v>21</v>
      </c>
      <c r="I1" t="s">
        <v>4</v>
      </c>
      <c r="J1" t="s">
        <v>5</v>
      </c>
      <c r="K1">
        <v>11.233000000000001</v>
      </c>
      <c r="L1" t="s">
        <v>25</v>
      </c>
      <c r="M1">
        <f>K1/$B$2</f>
        <v>1.2343956043956046</v>
      </c>
      <c r="R1" t="s">
        <v>41</v>
      </c>
      <c r="S1" s="2" t="s">
        <v>43</v>
      </c>
    </row>
    <row r="2" spans="1:19" x14ac:dyDescent="0.3">
      <c r="A2" t="s">
        <v>0</v>
      </c>
      <c r="B2" s="1">
        <v>9.1</v>
      </c>
      <c r="E2" t="s">
        <v>6</v>
      </c>
      <c r="F2" t="s">
        <v>5</v>
      </c>
      <c r="G2">
        <v>1.52E-2</v>
      </c>
      <c r="I2" t="s">
        <v>6</v>
      </c>
      <c r="J2" t="s">
        <v>5</v>
      </c>
      <c r="K2">
        <v>2.5910000000000002</v>
      </c>
      <c r="L2" t="s">
        <v>26</v>
      </c>
      <c r="M2">
        <f>K2/$B$2</f>
        <v>0.28472527472527476</v>
      </c>
      <c r="S2" s="2" t="s">
        <v>42</v>
      </c>
    </row>
    <row r="3" spans="1:19" x14ac:dyDescent="0.3">
      <c r="A3" t="s">
        <v>50</v>
      </c>
      <c r="E3" t="s">
        <v>1</v>
      </c>
      <c r="I3" t="s">
        <v>1</v>
      </c>
      <c r="K3">
        <v>21.453299999999999</v>
      </c>
      <c r="L3" t="s">
        <v>27</v>
      </c>
      <c r="M3">
        <f>K3/$B$2</f>
        <v>2.3575054945054945</v>
      </c>
      <c r="S3" s="2" t="s">
        <v>44</v>
      </c>
    </row>
    <row r="4" spans="1:19" x14ac:dyDescent="0.3">
      <c r="E4" t="s">
        <v>2</v>
      </c>
      <c r="R4" t="s">
        <v>45</v>
      </c>
      <c r="S4" s="2" t="s">
        <v>46</v>
      </c>
    </row>
    <row r="5" spans="1:19" x14ac:dyDescent="0.3">
      <c r="A5" t="s">
        <v>19</v>
      </c>
      <c r="E5" t="s">
        <v>3</v>
      </c>
      <c r="I5" t="s">
        <v>3</v>
      </c>
    </row>
    <row r="6" spans="1:19" x14ac:dyDescent="0.3">
      <c r="E6" t="s">
        <v>7</v>
      </c>
      <c r="F6" t="s">
        <v>5</v>
      </c>
      <c r="G6">
        <v>3.6499999999999998E-2</v>
      </c>
      <c r="I6" t="s">
        <v>7</v>
      </c>
      <c r="J6" t="s">
        <v>5</v>
      </c>
      <c r="K6">
        <v>7.7519999999999998</v>
      </c>
      <c r="L6" t="s">
        <v>28</v>
      </c>
      <c r="M6">
        <f>K6/$B$2</f>
        <v>0.85186813186813193</v>
      </c>
      <c r="R6" t="s">
        <v>47</v>
      </c>
      <c r="S6" s="2" t="s">
        <v>48</v>
      </c>
    </row>
    <row r="7" spans="1:19" x14ac:dyDescent="0.3">
      <c r="E7" t="s">
        <v>8</v>
      </c>
      <c r="F7" t="s">
        <v>5</v>
      </c>
      <c r="G7">
        <v>6.8500000000000005E-2</v>
      </c>
      <c r="I7" t="s">
        <v>8</v>
      </c>
      <c r="J7" t="s">
        <v>5</v>
      </c>
      <c r="K7">
        <v>36.402000000000001</v>
      </c>
      <c r="L7" t="s">
        <v>29</v>
      </c>
      <c r="M7">
        <f>K7/$B$2</f>
        <v>4.0002197802197808</v>
      </c>
      <c r="S7" s="2" t="s">
        <v>49</v>
      </c>
    </row>
    <row r="9" spans="1:19" x14ac:dyDescent="0.3">
      <c r="E9" t="s">
        <v>10</v>
      </c>
      <c r="F9" t="s">
        <v>5</v>
      </c>
      <c r="G9">
        <v>1.03E-2</v>
      </c>
      <c r="I9" t="s">
        <v>10</v>
      </c>
      <c r="J9" t="s">
        <v>5</v>
      </c>
      <c r="K9">
        <v>13.21</v>
      </c>
      <c r="L9" t="s">
        <v>30</v>
      </c>
      <c r="M9">
        <f t="shared" ref="M9:M11" si="0">K9/$B$2</f>
        <v>1.4516483516483518</v>
      </c>
    </row>
    <row r="10" spans="1:19" x14ac:dyDescent="0.3">
      <c r="E10" t="s">
        <v>11</v>
      </c>
      <c r="F10" t="s">
        <v>5</v>
      </c>
      <c r="G10">
        <v>8.6099999999999996E-2</v>
      </c>
      <c r="I10" t="s">
        <v>11</v>
      </c>
      <c r="J10" t="s">
        <v>5</v>
      </c>
      <c r="K10">
        <v>33.469000000000001</v>
      </c>
      <c r="L10" t="s">
        <v>31</v>
      </c>
      <c r="M10">
        <f t="shared" si="0"/>
        <v>3.6779120879120883</v>
      </c>
    </row>
    <row r="11" spans="1:19" x14ac:dyDescent="0.3">
      <c r="E11" t="s">
        <v>12</v>
      </c>
      <c r="F11" t="s">
        <v>5</v>
      </c>
      <c r="G11">
        <v>1.09E-2</v>
      </c>
      <c r="I11" t="s">
        <v>12</v>
      </c>
      <c r="J11" t="s">
        <v>5</v>
      </c>
      <c r="K11">
        <v>5.5209999999999999</v>
      </c>
      <c r="L11" t="s">
        <v>32</v>
      </c>
      <c r="M11">
        <f t="shared" si="0"/>
        <v>0.6067032967032967</v>
      </c>
    </row>
    <row r="14" spans="1:19" x14ac:dyDescent="0.3">
      <c r="E14" t="s">
        <v>15</v>
      </c>
      <c r="F14" t="s">
        <v>5</v>
      </c>
      <c r="G14">
        <v>2.7799999999999998E-2</v>
      </c>
      <c r="I14" t="s">
        <v>15</v>
      </c>
      <c r="J14" t="s">
        <v>5</v>
      </c>
      <c r="K14">
        <v>11.625999999999999</v>
      </c>
      <c r="L14" t="s">
        <v>33</v>
      </c>
      <c r="M14">
        <f>K14/$B$2</f>
        <v>1.2775824175824175</v>
      </c>
    </row>
    <row r="16" spans="1:19" x14ac:dyDescent="0.3">
      <c r="E16" t="s">
        <v>17</v>
      </c>
      <c r="F16" t="s">
        <v>5</v>
      </c>
      <c r="G16">
        <v>1.1900000000000001E-3</v>
      </c>
      <c r="I16" t="s">
        <v>17</v>
      </c>
      <c r="J16" t="s">
        <v>5</v>
      </c>
      <c r="K16">
        <v>0.35299999999999998</v>
      </c>
      <c r="L16" t="s">
        <v>34</v>
      </c>
      <c r="M16">
        <f>K16/$B$2</f>
        <v>3.8791208791208794E-2</v>
      </c>
    </row>
    <row r="18" spans="5:15" x14ac:dyDescent="0.3">
      <c r="E18" t="s">
        <v>18</v>
      </c>
      <c r="F18" t="s">
        <v>5</v>
      </c>
      <c r="G18">
        <f>SUM(G1:G16)</f>
        <v>0.26989000000000002</v>
      </c>
      <c r="I18" t="s">
        <v>18</v>
      </c>
      <c r="J18" t="s">
        <v>5</v>
      </c>
      <c r="K18">
        <f>SUM(K1:K16)</f>
        <v>143.6103</v>
      </c>
      <c r="L18" t="s">
        <v>35</v>
      </c>
      <c r="M18">
        <f>SUM(M1:M16)</f>
        <v>15.781351648351647</v>
      </c>
    </row>
    <row r="20" spans="5:15" x14ac:dyDescent="0.3">
      <c r="E20" t="s">
        <v>9</v>
      </c>
      <c r="F20" t="s">
        <v>5</v>
      </c>
      <c r="G20">
        <v>1.7299999999999999E-2</v>
      </c>
      <c r="I20" t="s">
        <v>9</v>
      </c>
      <c r="J20" t="s">
        <v>5</v>
      </c>
      <c r="K20">
        <v>12.867000000000001</v>
      </c>
      <c r="L20" t="s">
        <v>36</v>
      </c>
      <c r="M20">
        <f t="shared" ref="M20:M23" si="1">K20/$B$2</f>
        <v>1.4139560439560441</v>
      </c>
    </row>
    <row r="21" spans="5:15" x14ac:dyDescent="0.3">
      <c r="E21" t="s">
        <v>13</v>
      </c>
      <c r="F21" t="s">
        <v>5</v>
      </c>
      <c r="G21">
        <v>6.2399999999999999E-3</v>
      </c>
      <c r="I21" t="s">
        <v>13</v>
      </c>
      <c r="J21" t="s">
        <v>5</v>
      </c>
      <c r="K21">
        <v>3.056</v>
      </c>
      <c r="L21" t="s">
        <v>37</v>
      </c>
      <c r="M21">
        <f t="shared" si="1"/>
        <v>0.33582417582417584</v>
      </c>
    </row>
    <row r="22" spans="5:15" x14ac:dyDescent="0.3">
      <c r="E22" t="s">
        <v>14</v>
      </c>
      <c r="F22" t="s">
        <v>5</v>
      </c>
      <c r="G22">
        <v>5.8099999999999999E-2</v>
      </c>
      <c r="I22" t="s">
        <v>14</v>
      </c>
      <c r="J22" t="s">
        <v>5</v>
      </c>
      <c r="K22">
        <v>12.368</v>
      </c>
      <c r="L22" t="s">
        <v>38</v>
      </c>
      <c r="M22">
        <f t="shared" si="1"/>
        <v>1.3591208791208793</v>
      </c>
    </row>
    <row r="23" spans="5:15" x14ac:dyDescent="0.3">
      <c r="E23" t="s">
        <v>16</v>
      </c>
      <c r="F23" t="s">
        <v>5</v>
      </c>
      <c r="G23">
        <v>8.1799999999999998E-3</v>
      </c>
      <c r="I23" t="s">
        <v>16</v>
      </c>
      <c r="J23" t="s">
        <v>5</v>
      </c>
      <c r="K23">
        <v>6.343</v>
      </c>
      <c r="L23" t="s">
        <v>39</v>
      </c>
      <c r="M23">
        <f t="shared" si="1"/>
        <v>0.69703296703296702</v>
      </c>
    </row>
    <row r="24" spans="5:15" x14ac:dyDescent="0.3">
      <c r="K24">
        <f>SUM(K20:K23)</f>
        <v>34.634</v>
      </c>
      <c r="M24">
        <f>SUM(M20:M23)</f>
        <v>3.8059340659340664</v>
      </c>
    </row>
    <row r="25" spans="5:15" x14ac:dyDescent="0.3">
      <c r="K25">
        <f>K24+K18</f>
        <v>178.24430000000001</v>
      </c>
      <c r="M25">
        <f>M24+M18</f>
        <v>19.587285714285713</v>
      </c>
    </row>
    <row r="26" spans="5:15" x14ac:dyDescent="0.3">
      <c r="I26" t="s">
        <v>22</v>
      </c>
      <c r="K26">
        <v>181.91249999999999</v>
      </c>
      <c r="L26">
        <f>K26-K25</f>
        <v>3.6681999999999846</v>
      </c>
    </row>
    <row r="27" spans="5:15" x14ac:dyDescent="0.3">
      <c r="I27" t="s">
        <v>23</v>
      </c>
      <c r="K27">
        <v>181.91300000000001</v>
      </c>
      <c r="M27">
        <f t="shared" ref="M27" si="2">K27/$B$2</f>
        <v>19.990439560439562</v>
      </c>
      <c r="N27">
        <v>3.67</v>
      </c>
      <c r="O27">
        <f>N27/K27</f>
        <v>2.0174479009196701E-2</v>
      </c>
    </row>
    <row r="28" spans="5:15" x14ac:dyDescent="0.3">
      <c r="I28" t="s">
        <v>24</v>
      </c>
      <c r="K28">
        <v>181.91300000000001</v>
      </c>
    </row>
    <row r="30" spans="5:15" x14ac:dyDescent="0.3">
      <c r="I30" t="s">
        <v>40</v>
      </c>
      <c r="K30">
        <f>3.67</f>
        <v>3.67</v>
      </c>
    </row>
    <row r="31" spans="5:15" x14ac:dyDescent="0.3">
      <c r="I31" t="s">
        <v>2</v>
      </c>
      <c r="K31">
        <v>1.0500000000000001E-2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2025-07-28T13:20:30Z</dcterms:created>
  <dcterms:modified xsi:type="dcterms:W3CDTF">2025-07-28T16:37:24Z</dcterms:modified>
</cp:coreProperties>
</file>