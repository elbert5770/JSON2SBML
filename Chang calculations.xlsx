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A1904C90-10B5-416D-84B3-75C04EC7DD82}" xr6:coauthVersionLast="47" xr6:coauthVersionMax="47" xr10:uidLastSave="{00000000-0000-0000-0000-000000000000}"/>
  <bookViews>
    <workbookView xWindow="-108" yWindow="-108" windowWidth="23256" windowHeight="12456" activeTab="3" xr2:uid="{E10206A9-01FD-4CD1-97F6-1EB9B3D2648B}"/>
  </bookViews>
  <sheets>
    <sheet name="Final" sheetId="3" r:id="rId1"/>
    <sheet name="Volumes" sheetId="4" r:id="rId2"/>
    <sheet name="Mouse" sheetId="5" r:id="rId3"/>
    <sheet name="Monkey" sheetId="7" r:id="rId4"/>
    <sheet name="Rat" sheetId="6" r:id="rId5"/>
    <sheet name="Revised" sheetId="2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7" l="1"/>
  <c r="H38" i="7"/>
  <c r="G38" i="7"/>
  <c r="F38" i="7"/>
  <c r="E38" i="7"/>
  <c r="D38" i="7"/>
  <c r="C38" i="7"/>
  <c r="B38" i="7"/>
  <c r="A38" i="7"/>
  <c r="I37" i="7"/>
  <c r="H37" i="7"/>
  <c r="G37" i="7"/>
  <c r="F37" i="7"/>
  <c r="E37" i="7"/>
  <c r="D37" i="7"/>
  <c r="C37" i="7"/>
  <c r="B37" i="7"/>
  <c r="A37" i="7"/>
  <c r="I36" i="7"/>
  <c r="H36" i="7"/>
  <c r="G36" i="7"/>
  <c r="F36" i="7"/>
  <c r="E36" i="7"/>
  <c r="D36" i="7"/>
  <c r="C36" i="7"/>
  <c r="B36" i="7"/>
  <c r="A36" i="7"/>
  <c r="I35" i="7"/>
  <c r="H35" i="7"/>
  <c r="G35" i="7"/>
  <c r="F35" i="7"/>
  <c r="E35" i="7"/>
  <c r="D35" i="7"/>
  <c r="C35" i="7"/>
  <c r="B35" i="7"/>
  <c r="A35" i="7"/>
  <c r="I34" i="7"/>
  <c r="H34" i="7"/>
  <c r="G34" i="7"/>
  <c r="F34" i="7"/>
  <c r="E34" i="7"/>
  <c r="D34" i="7"/>
  <c r="C34" i="7"/>
  <c r="B34" i="7"/>
  <c r="A34" i="7"/>
  <c r="I33" i="7"/>
  <c r="H33" i="7"/>
  <c r="G33" i="7"/>
  <c r="F33" i="7"/>
  <c r="E33" i="7"/>
  <c r="D33" i="7"/>
  <c r="C33" i="7"/>
  <c r="B33" i="7"/>
  <c r="A33" i="7"/>
  <c r="I32" i="7"/>
  <c r="H32" i="7"/>
  <c r="G32" i="7"/>
  <c r="F32" i="7"/>
  <c r="E32" i="7"/>
  <c r="D32" i="7"/>
  <c r="C32" i="7"/>
  <c r="B32" i="7"/>
  <c r="A32" i="7"/>
  <c r="I31" i="7"/>
  <c r="H31" i="7"/>
  <c r="G31" i="7"/>
  <c r="F31" i="7"/>
  <c r="E31" i="7"/>
  <c r="D31" i="7"/>
  <c r="C31" i="7"/>
  <c r="B31" i="7"/>
  <c r="A31" i="7"/>
  <c r="I30" i="7"/>
  <c r="H30" i="7"/>
  <c r="G30" i="7"/>
  <c r="F30" i="7"/>
  <c r="E30" i="7"/>
  <c r="D30" i="7"/>
  <c r="C30" i="7"/>
  <c r="B30" i="7"/>
  <c r="A30" i="7"/>
  <c r="I29" i="7"/>
  <c r="H29" i="7"/>
  <c r="G29" i="7"/>
  <c r="F29" i="7"/>
  <c r="E29" i="7"/>
  <c r="D29" i="7"/>
  <c r="C29" i="7"/>
  <c r="B29" i="7"/>
  <c r="A29" i="7"/>
  <c r="I28" i="7"/>
  <c r="H28" i="7"/>
  <c r="G28" i="7"/>
  <c r="F28" i="7"/>
  <c r="E28" i="7"/>
  <c r="D28" i="7"/>
  <c r="C28" i="7"/>
  <c r="B28" i="7"/>
  <c r="A28" i="7"/>
  <c r="I27" i="7"/>
  <c r="H27" i="7"/>
  <c r="G27" i="7"/>
  <c r="F27" i="7"/>
  <c r="E27" i="7"/>
  <c r="D27" i="7"/>
  <c r="C27" i="7"/>
  <c r="B27" i="7"/>
  <c r="A27" i="7"/>
  <c r="I26" i="7"/>
  <c r="H26" i="7"/>
  <c r="G26" i="7"/>
  <c r="F26" i="7"/>
  <c r="E26" i="7"/>
  <c r="D26" i="7"/>
  <c r="C26" i="7"/>
  <c r="B26" i="7"/>
  <c r="A26" i="7"/>
  <c r="I25" i="7"/>
  <c r="H25" i="7"/>
  <c r="G25" i="7"/>
  <c r="F25" i="7"/>
  <c r="E25" i="7"/>
  <c r="D25" i="7"/>
  <c r="C25" i="7"/>
  <c r="B25" i="7"/>
  <c r="A25" i="7"/>
  <c r="I24" i="7"/>
  <c r="H24" i="7"/>
  <c r="G24" i="7"/>
  <c r="F24" i="7"/>
  <c r="E24" i="7"/>
  <c r="D24" i="7"/>
  <c r="C24" i="7"/>
  <c r="B24" i="7"/>
  <c r="A24" i="7"/>
  <c r="I23" i="7"/>
  <c r="H23" i="7"/>
  <c r="G23" i="7"/>
  <c r="F23" i="7"/>
  <c r="E23" i="7"/>
  <c r="D23" i="7"/>
  <c r="C23" i="7"/>
  <c r="B23" i="7"/>
  <c r="A23" i="7"/>
  <c r="I22" i="7"/>
  <c r="H22" i="7"/>
  <c r="G22" i="7"/>
  <c r="F22" i="7"/>
  <c r="E22" i="7"/>
  <c r="D22" i="7"/>
  <c r="C22" i="7"/>
  <c r="B22" i="7"/>
  <c r="A22" i="7"/>
  <c r="I39" i="5"/>
  <c r="H39" i="5"/>
  <c r="G39" i="5"/>
  <c r="F39" i="5"/>
  <c r="E39" i="5"/>
  <c r="D39" i="5"/>
  <c r="C39" i="5"/>
  <c r="B39" i="5"/>
  <c r="A39" i="5"/>
  <c r="I38" i="5"/>
  <c r="H38" i="5"/>
  <c r="G38" i="5"/>
  <c r="F38" i="5"/>
  <c r="E38" i="5"/>
  <c r="D38" i="5"/>
  <c r="C38" i="5"/>
  <c r="B38" i="5"/>
  <c r="A38" i="5"/>
  <c r="I37" i="5"/>
  <c r="H37" i="5"/>
  <c r="G37" i="5"/>
  <c r="F37" i="5"/>
  <c r="E37" i="5"/>
  <c r="D37" i="5"/>
  <c r="C37" i="5"/>
  <c r="B37" i="5"/>
  <c r="A37" i="5"/>
  <c r="I36" i="5"/>
  <c r="H36" i="5"/>
  <c r="G36" i="5"/>
  <c r="F36" i="5"/>
  <c r="E36" i="5"/>
  <c r="D36" i="5"/>
  <c r="C36" i="5"/>
  <c r="B36" i="5"/>
  <c r="A36" i="5"/>
  <c r="I35" i="5"/>
  <c r="H35" i="5"/>
  <c r="G35" i="5"/>
  <c r="F35" i="5"/>
  <c r="E35" i="5"/>
  <c r="D35" i="5"/>
  <c r="C35" i="5"/>
  <c r="B35" i="5"/>
  <c r="A35" i="5"/>
  <c r="I34" i="5"/>
  <c r="H34" i="5"/>
  <c r="G34" i="5"/>
  <c r="F34" i="5"/>
  <c r="E34" i="5"/>
  <c r="D34" i="5"/>
  <c r="C34" i="5"/>
  <c r="B34" i="5"/>
  <c r="A34" i="5"/>
  <c r="I33" i="5"/>
  <c r="H33" i="5"/>
  <c r="G33" i="5"/>
  <c r="F33" i="5"/>
  <c r="E33" i="5"/>
  <c r="D33" i="5"/>
  <c r="C33" i="5"/>
  <c r="B33" i="5"/>
  <c r="A33" i="5"/>
  <c r="I32" i="5"/>
  <c r="H32" i="5"/>
  <c r="G32" i="5"/>
  <c r="F32" i="5"/>
  <c r="E32" i="5"/>
  <c r="D32" i="5"/>
  <c r="C32" i="5"/>
  <c r="B32" i="5"/>
  <c r="A32" i="5"/>
  <c r="I31" i="5"/>
  <c r="H31" i="5"/>
  <c r="G31" i="5"/>
  <c r="F31" i="5"/>
  <c r="E31" i="5"/>
  <c r="D31" i="5"/>
  <c r="C31" i="5"/>
  <c r="B31" i="5"/>
  <c r="A31" i="5"/>
  <c r="I30" i="5"/>
  <c r="H30" i="5"/>
  <c r="G30" i="5"/>
  <c r="F30" i="5"/>
  <c r="E30" i="5"/>
  <c r="D30" i="5"/>
  <c r="C30" i="5"/>
  <c r="B30" i="5"/>
  <c r="A30" i="5"/>
  <c r="I29" i="5"/>
  <c r="H29" i="5"/>
  <c r="G29" i="5"/>
  <c r="F29" i="5"/>
  <c r="E29" i="5"/>
  <c r="D29" i="5"/>
  <c r="C29" i="5"/>
  <c r="B29" i="5"/>
  <c r="A29" i="5"/>
  <c r="I28" i="5"/>
  <c r="H28" i="5"/>
  <c r="G28" i="5"/>
  <c r="F28" i="5"/>
  <c r="E28" i="5"/>
  <c r="D28" i="5"/>
  <c r="C28" i="5"/>
  <c r="B28" i="5"/>
  <c r="A28" i="5"/>
  <c r="I27" i="5"/>
  <c r="H27" i="5"/>
  <c r="G27" i="5"/>
  <c r="F27" i="5"/>
  <c r="E27" i="5"/>
  <c r="D27" i="5"/>
  <c r="C27" i="5"/>
  <c r="B27" i="5"/>
  <c r="A27" i="5"/>
  <c r="I26" i="5"/>
  <c r="H26" i="5"/>
  <c r="G26" i="5"/>
  <c r="F26" i="5"/>
  <c r="E26" i="5"/>
  <c r="D26" i="5"/>
  <c r="C26" i="5"/>
  <c r="B26" i="5"/>
  <c r="A26" i="5"/>
  <c r="I25" i="5"/>
  <c r="H25" i="5"/>
  <c r="G25" i="5"/>
  <c r="F25" i="5"/>
  <c r="E25" i="5"/>
  <c r="D25" i="5"/>
  <c r="C25" i="5"/>
  <c r="B25" i="5"/>
  <c r="A25" i="5"/>
  <c r="I24" i="5"/>
  <c r="H24" i="5"/>
  <c r="G24" i="5"/>
  <c r="F24" i="5"/>
  <c r="E24" i="5"/>
  <c r="D24" i="5"/>
  <c r="C24" i="5"/>
  <c r="B24" i="5"/>
  <c r="A24" i="5"/>
  <c r="I23" i="5"/>
  <c r="H23" i="5"/>
  <c r="G23" i="5"/>
  <c r="F23" i="5"/>
  <c r="E23" i="5"/>
  <c r="D23" i="5"/>
  <c r="C23" i="5"/>
  <c r="B23" i="5"/>
  <c r="A23" i="5"/>
  <c r="B23" i="6"/>
  <c r="C23" i="6"/>
  <c r="D23" i="6"/>
  <c r="E23" i="6"/>
  <c r="F23" i="6"/>
  <c r="G23" i="6"/>
  <c r="H23" i="6"/>
  <c r="I23" i="6"/>
  <c r="J23" i="6"/>
  <c r="B24" i="6"/>
  <c r="C24" i="6"/>
  <c r="D24" i="6"/>
  <c r="E24" i="6"/>
  <c r="F24" i="6"/>
  <c r="G24" i="6"/>
  <c r="H24" i="6"/>
  <c r="I24" i="6"/>
  <c r="J24" i="6"/>
  <c r="B25" i="6"/>
  <c r="C25" i="6"/>
  <c r="D25" i="6"/>
  <c r="E25" i="6"/>
  <c r="F25" i="6"/>
  <c r="G25" i="6"/>
  <c r="H25" i="6"/>
  <c r="I25" i="6"/>
  <c r="J25" i="6"/>
  <c r="B26" i="6"/>
  <c r="C26" i="6"/>
  <c r="D26" i="6"/>
  <c r="E26" i="6"/>
  <c r="F26" i="6"/>
  <c r="G26" i="6"/>
  <c r="H26" i="6"/>
  <c r="I26" i="6"/>
  <c r="J26" i="6"/>
  <c r="B27" i="6"/>
  <c r="C27" i="6"/>
  <c r="D27" i="6"/>
  <c r="E27" i="6"/>
  <c r="F27" i="6"/>
  <c r="G27" i="6"/>
  <c r="H27" i="6"/>
  <c r="I27" i="6"/>
  <c r="J27" i="6"/>
  <c r="B28" i="6"/>
  <c r="C28" i="6"/>
  <c r="D28" i="6"/>
  <c r="E28" i="6"/>
  <c r="F28" i="6"/>
  <c r="G28" i="6"/>
  <c r="H28" i="6"/>
  <c r="I28" i="6"/>
  <c r="J28" i="6"/>
  <c r="B29" i="6"/>
  <c r="C29" i="6"/>
  <c r="D29" i="6"/>
  <c r="E29" i="6"/>
  <c r="F29" i="6"/>
  <c r="G29" i="6"/>
  <c r="H29" i="6"/>
  <c r="I29" i="6"/>
  <c r="J29" i="6"/>
  <c r="B30" i="6"/>
  <c r="C30" i="6"/>
  <c r="D30" i="6"/>
  <c r="E30" i="6"/>
  <c r="F30" i="6"/>
  <c r="G30" i="6"/>
  <c r="H30" i="6"/>
  <c r="I30" i="6"/>
  <c r="J30" i="6"/>
  <c r="B31" i="6"/>
  <c r="C31" i="6"/>
  <c r="D31" i="6"/>
  <c r="E31" i="6"/>
  <c r="F31" i="6"/>
  <c r="G31" i="6"/>
  <c r="H31" i="6"/>
  <c r="I31" i="6"/>
  <c r="J31" i="6"/>
  <c r="B32" i="6"/>
  <c r="C32" i="6"/>
  <c r="D32" i="6"/>
  <c r="E32" i="6"/>
  <c r="F32" i="6"/>
  <c r="G32" i="6"/>
  <c r="H32" i="6"/>
  <c r="I32" i="6"/>
  <c r="J32" i="6"/>
  <c r="B33" i="6"/>
  <c r="C33" i="6"/>
  <c r="D33" i="6"/>
  <c r="E33" i="6"/>
  <c r="F33" i="6"/>
  <c r="G33" i="6"/>
  <c r="H33" i="6"/>
  <c r="I33" i="6"/>
  <c r="J33" i="6"/>
  <c r="B34" i="6"/>
  <c r="C34" i="6"/>
  <c r="D34" i="6"/>
  <c r="E34" i="6"/>
  <c r="F34" i="6"/>
  <c r="G34" i="6"/>
  <c r="H34" i="6"/>
  <c r="I34" i="6"/>
  <c r="J34" i="6"/>
  <c r="B35" i="6"/>
  <c r="C35" i="6"/>
  <c r="D35" i="6"/>
  <c r="E35" i="6"/>
  <c r="F35" i="6"/>
  <c r="G35" i="6"/>
  <c r="H35" i="6"/>
  <c r="I35" i="6"/>
  <c r="J35" i="6"/>
  <c r="B36" i="6"/>
  <c r="C36" i="6"/>
  <c r="D36" i="6"/>
  <c r="E36" i="6"/>
  <c r="F36" i="6"/>
  <c r="G36" i="6"/>
  <c r="H36" i="6"/>
  <c r="I36" i="6"/>
  <c r="J36" i="6"/>
  <c r="B37" i="6"/>
  <c r="C37" i="6"/>
  <c r="D37" i="6"/>
  <c r="E37" i="6"/>
  <c r="F37" i="6"/>
  <c r="G37" i="6"/>
  <c r="H37" i="6"/>
  <c r="I37" i="6"/>
  <c r="J37" i="6"/>
  <c r="B38" i="6"/>
  <c r="C38" i="6"/>
  <c r="D38" i="6"/>
  <c r="E38" i="6"/>
  <c r="F38" i="6"/>
  <c r="G38" i="6"/>
  <c r="H38" i="6"/>
  <c r="I38" i="6"/>
  <c r="J38" i="6"/>
  <c r="B39" i="6"/>
  <c r="C39" i="6"/>
  <c r="D39" i="6"/>
  <c r="E39" i="6"/>
  <c r="F39" i="6"/>
  <c r="G39" i="6"/>
  <c r="H39" i="6"/>
  <c r="I39" i="6"/>
  <c r="J39" i="6"/>
  <c r="B19" i="3"/>
  <c r="B35" i="3" s="1"/>
  <c r="B36" i="3" s="1"/>
  <c r="F4" i="3"/>
  <c r="D4" i="3"/>
  <c r="B31" i="3"/>
  <c r="F15" i="3"/>
  <c r="F14" i="3"/>
  <c r="F13" i="3"/>
  <c r="F12" i="3"/>
  <c r="B33" i="3" s="1"/>
  <c r="B34" i="3" s="1"/>
  <c r="F10" i="3"/>
  <c r="F9" i="3"/>
  <c r="F8" i="3"/>
  <c r="F7" i="3"/>
  <c r="F6" i="3"/>
  <c r="F5" i="3"/>
  <c r="F2" i="3"/>
  <c r="D15" i="3"/>
  <c r="D14" i="3"/>
  <c r="D13" i="3"/>
  <c r="D12" i="3"/>
  <c r="D11" i="3"/>
  <c r="F11" i="3" s="1"/>
  <c r="D10" i="3"/>
  <c r="D9" i="3"/>
  <c r="D8" i="3"/>
  <c r="D7" i="3"/>
  <c r="D6" i="3"/>
  <c r="D5" i="3"/>
  <c r="D3" i="3"/>
  <c r="F3" i="3" s="1"/>
  <c r="D2" i="3"/>
  <c r="M9" i="2"/>
  <c r="K30" i="2"/>
  <c r="K24" i="2"/>
  <c r="K25" i="2" s="1"/>
  <c r="P23" i="2"/>
  <c r="M23" i="2"/>
  <c r="P22" i="2"/>
  <c r="M22" i="2"/>
  <c r="M21" i="2"/>
  <c r="P21" i="2" s="1"/>
  <c r="P24" i="2" s="1"/>
  <c r="P20" i="2"/>
  <c r="M20" i="2"/>
  <c r="M24" i="2" s="1"/>
  <c r="S18" i="2"/>
  <c r="K18" i="2"/>
  <c r="G18" i="2"/>
  <c r="P16" i="2"/>
  <c r="M16" i="2"/>
  <c r="P14" i="2"/>
  <c r="M14" i="2"/>
  <c r="M11" i="2"/>
  <c r="P11" i="2" s="1"/>
  <c r="P10" i="2"/>
  <c r="M10" i="2"/>
  <c r="P9" i="2"/>
  <c r="P7" i="2"/>
  <c r="M7" i="2"/>
  <c r="M6" i="2"/>
  <c r="P6" i="2" s="1"/>
  <c r="P3" i="2"/>
  <c r="M3" i="2"/>
  <c r="P2" i="2"/>
  <c r="M2" i="2"/>
  <c r="P1" i="2"/>
  <c r="M1" i="2"/>
  <c r="M18" i="2" s="1"/>
  <c r="O35" i="1"/>
  <c r="M39" i="1"/>
  <c r="M40" i="1" s="1"/>
  <c r="M38" i="1"/>
  <c r="K28" i="1"/>
  <c r="K27" i="1"/>
  <c r="K29" i="1" s="1"/>
  <c r="P24" i="1"/>
  <c r="P25" i="1" s="1"/>
  <c r="P18" i="1"/>
  <c r="P23" i="1"/>
  <c r="P22" i="1"/>
  <c r="P21" i="1"/>
  <c r="P20" i="1"/>
  <c r="P16" i="1"/>
  <c r="P14" i="1"/>
  <c r="P11" i="1"/>
  <c r="P10" i="1"/>
  <c r="P9" i="1"/>
  <c r="P7" i="1"/>
  <c r="P6" i="1"/>
  <c r="P3" i="1"/>
  <c r="P2" i="1"/>
  <c r="P1" i="1"/>
  <c r="M3" i="1"/>
  <c r="M18" i="1"/>
  <c r="M23" i="1"/>
  <c r="M22" i="1"/>
  <c r="M21" i="1"/>
  <c r="M20" i="1"/>
  <c r="M16" i="1"/>
  <c r="M14" i="1"/>
  <c r="M11" i="1"/>
  <c r="M10" i="1"/>
  <c r="M9" i="1"/>
  <c r="M7" i="1"/>
  <c r="M6" i="1"/>
  <c r="M2" i="1"/>
  <c r="M1" i="1"/>
  <c r="S19" i="1"/>
  <c r="S18" i="1"/>
  <c r="K30" i="1"/>
  <c r="K24" i="1"/>
  <c r="M24" i="1"/>
  <c r="K18" i="1"/>
  <c r="K25" i="1" s="1"/>
  <c r="G18" i="1"/>
  <c r="B29" i="3" l="1"/>
  <c r="F19" i="3"/>
  <c r="B38" i="3"/>
  <c r="B37" i="3"/>
  <c r="D19" i="3"/>
  <c r="E22" i="3" s="1"/>
  <c r="P18" i="2"/>
  <c r="P25" i="2" s="1"/>
  <c r="K28" i="2"/>
  <c r="S19" i="2" s="1"/>
  <c r="K27" i="2"/>
  <c r="L26" i="2"/>
  <c r="M25" i="2"/>
  <c r="K32" i="1"/>
  <c r="M27" i="1"/>
  <c r="S16" i="1"/>
  <c r="S17" i="1"/>
  <c r="O27" i="1"/>
  <c r="M34" i="1"/>
  <c r="M25" i="1"/>
  <c r="L26" i="1"/>
  <c r="M34" i="2" l="1"/>
  <c r="K29" i="2"/>
  <c r="O27" i="2"/>
  <c r="S17" i="2"/>
  <c r="M27" i="2"/>
  <c r="S16" i="2"/>
  <c r="M35" i="1"/>
  <c r="M33" i="1"/>
  <c r="M36" i="1"/>
  <c r="M33" i="2" l="1"/>
  <c r="K32" i="2"/>
  <c r="M35" i="2" s="1"/>
  <c r="O35" i="2" s="1"/>
  <c r="M38" i="2"/>
  <c r="M36" i="2"/>
  <c r="M39" i="2"/>
  <c r="M40" i="2" l="1"/>
</calcChain>
</file>

<file path=xl/sharedStrings.xml><?xml version="1.0" encoding="utf-8"?>
<sst xmlns="http://schemas.openxmlformats.org/spreadsheetml/2006/main" count="536" uniqueCount="173">
  <si>
    <t>C_LNLF</t>
  </si>
  <si>
    <t>Q_Brain</t>
  </si>
  <si>
    <t>Q_BrainECF</t>
  </si>
  <si>
    <t>Q_CSF</t>
  </si>
  <si>
    <t>Q_Adipose</t>
  </si>
  <si>
    <t>=</t>
  </si>
  <si>
    <t>Q_Bone</t>
  </si>
  <si>
    <t>Q_Heart</t>
  </si>
  <si>
    <t>Q_Kidney</t>
  </si>
  <si>
    <t>Q_LI</t>
  </si>
  <si>
    <t>Q_Liver</t>
  </si>
  <si>
    <t>Q_Muscle</t>
  </si>
  <si>
    <t>Q_Other</t>
  </si>
  <si>
    <t>Q_Pancreas</t>
  </si>
  <si>
    <t>Q_SI</t>
  </si>
  <si>
    <t>Q_Skin</t>
  </si>
  <si>
    <t>Q_Spleen</t>
  </si>
  <si>
    <t>Q_Thymus</t>
  </si>
  <si>
    <t>Q_plasma</t>
  </si>
  <si>
    <t>Lymph/plasma Blooming</t>
  </si>
  <si>
    <t>mouse</t>
  </si>
  <si>
    <t>human</t>
  </si>
  <si>
    <t>Bloomingdale Qlung</t>
  </si>
  <si>
    <t>Qlung</t>
  </si>
  <si>
    <t>Qplasma</t>
  </si>
  <si>
    <t>L_Adipose</t>
  </si>
  <si>
    <t>L_Bone</t>
  </si>
  <si>
    <t>L_Brain</t>
  </si>
  <si>
    <t>L_Heart</t>
  </si>
  <si>
    <t>L_Kidney</t>
  </si>
  <si>
    <t>L_Liver</t>
  </si>
  <si>
    <t>L_Muscle</t>
  </si>
  <si>
    <t>L_Other</t>
  </si>
  <si>
    <t>L_Skin</t>
  </si>
  <si>
    <t>L_Thymus</t>
  </si>
  <si>
    <t>L_plasma</t>
  </si>
  <si>
    <t>L_LI</t>
  </si>
  <si>
    <t>L_Pancreas</t>
  </si>
  <si>
    <t>L_SI</t>
  </si>
  <si>
    <t>L_Spleen</t>
  </si>
  <si>
    <t>Q_LymphNode</t>
  </si>
  <si>
    <t>dCP/dt</t>
  </si>
  <si>
    <t>LLN*CLN</t>
  </si>
  <si>
    <t>-(Qlung_P + Llung)*CP</t>
  </si>
  <si>
    <t>(Qbrain_P - Lbrain)*Cbrain_P</t>
  </si>
  <si>
    <t>Lbrain</t>
  </si>
  <si>
    <t>Qbrain_CSF+Qbrain_ISF</t>
  </si>
  <si>
    <t>dCLN/dt</t>
  </si>
  <si>
    <t>(1-Rclung_L)*Llung*Clung_IS</t>
  </si>
  <si>
    <t>-LLN*CLN</t>
  </si>
  <si>
    <t>proportionalitylymph node flow</t>
  </si>
  <si>
    <t>lymph node receives Llung from lung interstitial</t>
  </si>
  <si>
    <t>plasma  sends Qlung_P</t>
  </si>
  <si>
    <t>LLN = Qlung_P * C_LNLF</t>
  </si>
  <si>
    <t>LLN</t>
  </si>
  <si>
    <t>1/C_LNLF</t>
  </si>
  <si>
    <t>Llung</t>
  </si>
  <si>
    <t>Q_ECF</t>
  </si>
  <si>
    <t>sum L all</t>
  </si>
  <si>
    <t>Qlung+Llung</t>
  </si>
  <si>
    <t>sum Q-L</t>
  </si>
  <si>
    <t>LN</t>
  </si>
  <si>
    <t>Qlung+Llung-sum Q-L</t>
  </si>
  <si>
    <t>Q-L</t>
  </si>
  <si>
    <t>Flow into organ</t>
  </si>
  <si>
    <t>Suppl Table 5 Chang 2019</t>
  </si>
  <si>
    <t>Others from table 5</t>
  </si>
  <si>
    <t>Ly. Node</t>
  </si>
  <si>
    <t>Plasma</t>
  </si>
  <si>
    <t>Diff Plasma Q_plasma_sum</t>
  </si>
  <si>
    <t>Q_plasma_sum</t>
  </si>
  <si>
    <t>Conclusion: What is listed as 'Plasma' is Plasma_sum + Ly. Node</t>
  </si>
  <si>
    <t>This may be incorrect because other calcs do not sum to Ly. Node</t>
  </si>
  <si>
    <t xml:space="preserve">Ly. Node was treated as a free parameter in the model, given a </t>
  </si>
  <si>
    <t>value that was 9x higher than Qlung</t>
  </si>
  <si>
    <t>Lymph flow (calc)</t>
  </si>
  <si>
    <t>Qlung will be Q_plasma_sum + L_lung</t>
  </si>
  <si>
    <t>Q_lung</t>
  </si>
  <si>
    <t>Calculated</t>
  </si>
  <si>
    <t>Q_liver_extra</t>
  </si>
  <si>
    <t>L_liver_extra</t>
  </si>
  <si>
    <t>L_lung</t>
  </si>
  <si>
    <t>L_lung_verified</t>
  </si>
  <si>
    <t>L_lung = (Q_plasma_sum+L_lung)*0.002</t>
  </si>
  <si>
    <t>Other</t>
  </si>
  <si>
    <t>L_LN</t>
  </si>
  <si>
    <t>V_AdiposeEndosomal</t>
  </si>
  <si>
    <t>V_AdiposeInterstitial</t>
  </si>
  <si>
    <t>V_AdiposeVascular</t>
  </si>
  <si>
    <t>V_BrainEndosomal</t>
  </si>
  <si>
    <t>f_BBB</t>
  </si>
  <si>
    <t>V_BBB</t>
  </si>
  <si>
    <t>V_BrainEndosomal*f_BBB</t>
  </si>
  <si>
    <t>V_BCSFB</t>
  </si>
  <si>
    <t>V_BrainEndosomal*(1</t>
  </si>
  <si>
    <t>-</t>
  </si>
  <si>
    <t>f_BBB)</t>
  </si>
  <si>
    <t>V_BoneEndosomal</t>
  </si>
  <si>
    <t>V_BoneInterstitial</t>
  </si>
  <si>
    <t>V_BoneVascular</t>
  </si>
  <si>
    <t>V_BrainISF</t>
  </si>
  <si>
    <t>V_BrainVascular</t>
  </si>
  <si>
    <t>V_CM</t>
  </si>
  <si>
    <t>V_HeartEndosomal</t>
  </si>
  <si>
    <t>V_HeartInterstitial</t>
  </si>
  <si>
    <t>V_HeartVascular</t>
  </si>
  <si>
    <t>V_KidneyEndosomal</t>
  </si>
  <si>
    <t>V_KidneyInterstitial</t>
  </si>
  <si>
    <t>V_KidneyVascular</t>
  </si>
  <si>
    <t>V_LIEndosomal</t>
  </si>
  <si>
    <t>V_LIInterstitial</t>
  </si>
  <si>
    <t>V_LIVascular</t>
  </si>
  <si>
    <t>V_LV</t>
  </si>
  <si>
    <t>V_LiverEndosomal</t>
  </si>
  <si>
    <t>V_LiverInterstitial</t>
  </si>
  <si>
    <t>V_LiverVascular</t>
  </si>
  <si>
    <t>V_LungEndosomal</t>
  </si>
  <si>
    <t>V_LungInterstitial</t>
  </si>
  <si>
    <t>V_LungVascular</t>
  </si>
  <si>
    <t>V_LymphNode</t>
  </si>
  <si>
    <t>V_MuscleEndosomal</t>
  </si>
  <si>
    <t>V_MuscleInterstitial</t>
  </si>
  <si>
    <t>V_MuscleVascular</t>
  </si>
  <si>
    <t>V_OtherEndosomal</t>
  </si>
  <si>
    <t>V_OtherInterstitial</t>
  </si>
  <si>
    <t>V_OtherVascular</t>
  </si>
  <si>
    <t>V_PancreasEndosomal</t>
  </si>
  <si>
    <t>V_PancreasInterstitial</t>
  </si>
  <si>
    <t>V_PancreasVascular</t>
  </si>
  <si>
    <t>V_Plasma</t>
  </si>
  <si>
    <t>V_SAS</t>
  </si>
  <si>
    <t>V_SIEndosomal</t>
  </si>
  <si>
    <t>V_SIInterstitial</t>
  </si>
  <si>
    <t>V_SIVascular</t>
  </si>
  <si>
    <t>V_SkinEndosomal</t>
  </si>
  <si>
    <t>V_SkinInterstitial</t>
  </si>
  <si>
    <t>V_SkinVascular</t>
  </si>
  <si>
    <t>V_SpleenEndosomal</t>
  </si>
  <si>
    <t>V_SpleenInterstitial</t>
  </si>
  <si>
    <t>V_SpleenVascular</t>
  </si>
  <si>
    <t>V_TFV</t>
  </si>
  <si>
    <t>V_ThymusEndosomal</t>
  </si>
  <si>
    <t>V_ThymusInterstitial</t>
  </si>
  <si>
    <t>V_ThymusVascular</t>
  </si>
  <si>
    <t>Human</t>
  </si>
  <si>
    <t>Mouse</t>
  </si>
  <si>
    <t>Total Volume</t>
  </si>
  <si>
    <t>Plasma Volume</t>
  </si>
  <si>
    <t>Blood Cell Volume</t>
  </si>
  <si>
    <t>Interstitial Volume</t>
  </si>
  <si>
    <t>Endosomal Volume</t>
  </si>
  <si>
    <t>Cellular volume</t>
  </si>
  <si>
    <t>Plasma Flow</t>
  </si>
  <si>
    <t>Blood Cell Flow</t>
  </si>
  <si>
    <t>mL</t>
  </si>
  <si>
    <t>mL/h</t>
  </si>
  <si>
    <t>Heart</t>
  </si>
  <si>
    <t>Lung</t>
  </si>
  <si>
    <t>Muscle</t>
  </si>
  <si>
    <t>Skin</t>
  </si>
  <si>
    <t>Adipose</t>
  </si>
  <si>
    <t>Bone</t>
  </si>
  <si>
    <t>Kidney</t>
  </si>
  <si>
    <t>Liver</t>
  </si>
  <si>
    <t>S. Intestine</t>
  </si>
  <si>
    <t>L. Intestine</t>
  </si>
  <si>
    <t>Pancreas</t>
  </si>
  <si>
    <t>Thymus</t>
  </si>
  <si>
    <t>Spleen</t>
  </si>
  <si>
    <t>Blood Cells</t>
  </si>
  <si>
    <t>SI</t>
  </si>
  <si>
    <t>LI</t>
  </si>
  <si>
    <t>Volume in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</si>
</sst>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9B4A-5ED4-4F47-A548-E4D299C9A2DB}">
  <dimension ref="A1:F45"/>
  <sheetViews>
    <sheetView topLeftCell="A16" workbookViewId="0">
      <selection activeCell="B35" sqref="B35"/>
    </sheetView>
  </sheetViews>
  <sheetFormatPr defaultRowHeight="14.4" x14ac:dyDescent="0.3"/>
  <cols>
    <col min="1" max="1" width="31" customWidth="1"/>
  </cols>
  <sheetData>
    <row r="1" spans="1:6" x14ac:dyDescent="0.3">
      <c r="A1" t="s">
        <v>64</v>
      </c>
      <c r="B1" t="s">
        <v>65</v>
      </c>
      <c r="D1" t="s">
        <v>75</v>
      </c>
      <c r="F1" t="s">
        <v>63</v>
      </c>
    </row>
    <row r="2" spans="1:6" x14ac:dyDescent="0.3">
      <c r="A2" t="s">
        <v>4</v>
      </c>
      <c r="B2">
        <v>11.233000000000001</v>
      </c>
      <c r="D2">
        <f>B2*0.002</f>
        <v>2.2466E-2</v>
      </c>
      <c r="F2">
        <f>B2-D2</f>
        <v>11.210534000000001</v>
      </c>
    </row>
    <row r="3" spans="1:6" x14ac:dyDescent="0.3">
      <c r="A3" t="s">
        <v>6</v>
      </c>
      <c r="B3">
        <v>2.5910000000000002</v>
      </c>
      <c r="D3">
        <f t="shared" ref="D3:D15" si="0">B3*0.002</f>
        <v>5.1820000000000008E-3</v>
      </c>
      <c r="F3">
        <f t="shared" ref="F3:F15" si="1">B3-D3</f>
        <v>2.5858180000000002</v>
      </c>
    </row>
    <row r="4" spans="1:6" x14ac:dyDescent="0.3">
      <c r="A4" t="s">
        <v>1</v>
      </c>
      <c r="B4" s="2">
        <v>21.453299999999999</v>
      </c>
      <c r="D4">
        <f>B22+B23</f>
        <v>3.15E-2</v>
      </c>
      <c r="F4">
        <f>B4-D4</f>
        <v>21.421799999999998</v>
      </c>
    </row>
    <row r="5" spans="1:6" x14ac:dyDescent="0.3">
      <c r="A5" t="s">
        <v>7</v>
      </c>
      <c r="B5">
        <v>7.7519999999999998</v>
      </c>
      <c r="D5">
        <f t="shared" si="0"/>
        <v>1.5504E-2</v>
      </c>
      <c r="F5">
        <f t="shared" si="1"/>
        <v>7.7364959999999998</v>
      </c>
    </row>
    <row r="6" spans="1:6" x14ac:dyDescent="0.3">
      <c r="A6" t="s">
        <v>8</v>
      </c>
      <c r="B6">
        <v>36.402000000000001</v>
      </c>
      <c r="D6">
        <f t="shared" si="0"/>
        <v>7.2804000000000008E-2</v>
      </c>
      <c r="F6">
        <f t="shared" si="1"/>
        <v>36.329196000000003</v>
      </c>
    </row>
    <row r="7" spans="1:6" x14ac:dyDescent="0.3">
      <c r="A7" t="s">
        <v>11</v>
      </c>
      <c r="B7">
        <v>33.469000000000001</v>
      </c>
      <c r="D7">
        <f t="shared" si="0"/>
        <v>6.6937999999999998E-2</v>
      </c>
      <c r="F7">
        <f t="shared" si="1"/>
        <v>33.402062000000001</v>
      </c>
    </row>
    <row r="8" spans="1:6" x14ac:dyDescent="0.3">
      <c r="A8" t="s">
        <v>12</v>
      </c>
      <c r="B8">
        <v>5.5209999999999999</v>
      </c>
      <c r="D8">
        <f t="shared" si="0"/>
        <v>1.1042E-2</v>
      </c>
      <c r="F8">
        <f t="shared" si="1"/>
        <v>5.5099580000000001</v>
      </c>
    </row>
    <row r="9" spans="1:6" x14ac:dyDescent="0.3">
      <c r="A9" t="s">
        <v>15</v>
      </c>
      <c r="B9">
        <v>11.625999999999999</v>
      </c>
      <c r="D9">
        <f t="shared" si="0"/>
        <v>2.3251999999999998E-2</v>
      </c>
      <c r="F9">
        <f t="shared" si="1"/>
        <v>11.602748</v>
      </c>
    </row>
    <row r="10" spans="1:6" x14ac:dyDescent="0.3">
      <c r="A10" t="s">
        <v>17</v>
      </c>
      <c r="B10">
        <v>0.35299999999999998</v>
      </c>
      <c r="D10">
        <f t="shared" si="0"/>
        <v>7.0599999999999992E-4</v>
      </c>
      <c r="F10">
        <f t="shared" si="1"/>
        <v>0.352294</v>
      </c>
    </row>
    <row r="11" spans="1:6" x14ac:dyDescent="0.3">
      <c r="A11" t="s">
        <v>10</v>
      </c>
      <c r="B11">
        <v>13.21</v>
      </c>
      <c r="D11">
        <f t="shared" si="0"/>
        <v>2.6420000000000003E-2</v>
      </c>
      <c r="F11">
        <f t="shared" si="1"/>
        <v>13.183580000000001</v>
      </c>
    </row>
    <row r="12" spans="1:6" x14ac:dyDescent="0.3">
      <c r="A12" t="s">
        <v>9</v>
      </c>
      <c r="B12">
        <v>12.867000000000001</v>
      </c>
      <c r="D12">
        <f t="shared" si="0"/>
        <v>2.5734000000000003E-2</v>
      </c>
      <c r="F12">
        <f t="shared" si="1"/>
        <v>12.841266000000001</v>
      </c>
    </row>
    <row r="13" spans="1:6" x14ac:dyDescent="0.3">
      <c r="A13" t="s">
        <v>13</v>
      </c>
      <c r="B13">
        <v>3.056</v>
      </c>
      <c r="D13">
        <f t="shared" si="0"/>
        <v>6.1120000000000002E-3</v>
      </c>
      <c r="F13">
        <f t="shared" si="1"/>
        <v>3.0498880000000002</v>
      </c>
    </row>
    <row r="14" spans="1:6" x14ac:dyDescent="0.3">
      <c r="A14" t="s">
        <v>14</v>
      </c>
      <c r="B14">
        <v>12.368</v>
      </c>
      <c r="D14">
        <f t="shared" si="0"/>
        <v>2.4736000000000001E-2</v>
      </c>
      <c r="F14">
        <f t="shared" si="1"/>
        <v>12.343264</v>
      </c>
    </row>
    <row r="15" spans="1:6" x14ac:dyDescent="0.3">
      <c r="A15" t="s">
        <v>16</v>
      </c>
      <c r="B15">
        <v>6.343</v>
      </c>
      <c r="D15">
        <f t="shared" si="0"/>
        <v>1.2685999999999999E-2</v>
      </c>
      <c r="F15">
        <f t="shared" si="1"/>
        <v>6.3303139999999996</v>
      </c>
    </row>
    <row r="19" spans="1:6" x14ac:dyDescent="0.3">
      <c r="A19" t="s">
        <v>70</v>
      </c>
      <c r="B19">
        <f>SUM(B2:B15)</f>
        <v>178.24429999999998</v>
      </c>
      <c r="D19">
        <f>SUM(D2:D15)</f>
        <v>0.34508199999999994</v>
      </c>
      <c r="F19">
        <f>SUM(F2:F15)</f>
        <v>177.89921799999999</v>
      </c>
    </row>
    <row r="21" spans="1:6" x14ac:dyDescent="0.3">
      <c r="A21" t="s">
        <v>84</v>
      </c>
    </row>
    <row r="22" spans="1:6" x14ac:dyDescent="0.3">
      <c r="A22" t="s">
        <v>2</v>
      </c>
      <c r="B22">
        <v>1.0500000000000001E-2</v>
      </c>
      <c r="D22" t="s">
        <v>85</v>
      </c>
      <c r="E22">
        <f>D19+B35</f>
        <v>0.70228500601202404</v>
      </c>
    </row>
    <row r="23" spans="1:6" x14ac:dyDescent="0.3">
      <c r="A23" t="s">
        <v>3</v>
      </c>
      <c r="B23">
        <v>2.1000000000000001E-2</v>
      </c>
    </row>
    <row r="26" spans="1:6" x14ac:dyDescent="0.3">
      <c r="A26" t="s">
        <v>66</v>
      </c>
    </row>
    <row r="27" spans="1:6" x14ac:dyDescent="0.3">
      <c r="A27" t="s">
        <v>67</v>
      </c>
      <c r="B27">
        <v>3.67</v>
      </c>
    </row>
    <row r="28" spans="1:6" x14ac:dyDescent="0.3">
      <c r="A28" t="s">
        <v>68</v>
      </c>
      <c r="B28">
        <v>181.91300000000001</v>
      </c>
    </row>
    <row r="29" spans="1:6" x14ac:dyDescent="0.3">
      <c r="A29" t="s">
        <v>69</v>
      </c>
      <c r="B29">
        <f>B28-B19</f>
        <v>3.6687000000000296</v>
      </c>
    </row>
    <row r="30" spans="1:6" x14ac:dyDescent="0.3">
      <c r="A30" t="s">
        <v>77</v>
      </c>
      <c r="B30">
        <v>181.91300000000001</v>
      </c>
    </row>
    <row r="31" spans="1:6" x14ac:dyDescent="0.3">
      <c r="A31" t="s">
        <v>81</v>
      </c>
      <c r="B31">
        <f>B30*0.002</f>
        <v>0.36382600000000004</v>
      </c>
    </row>
    <row r="32" spans="1:6" x14ac:dyDescent="0.3">
      <c r="A32" t="s">
        <v>78</v>
      </c>
    </row>
    <row r="33" spans="1:2" x14ac:dyDescent="0.3">
      <c r="A33" t="s">
        <v>79</v>
      </c>
      <c r="B33">
        <f>SUM(F12:F15)</f>
        <v>34.564731999999999</v>
      </c>
    </row>
    <row r="34" spans="1:2" x14ac:dyDescent="0.3">
      <c r="A34" t="s">
        <v>80</v>
      </c>
      <c r="B34">
        <f>B33*0.002</f>
        <v>6.9129464000000002E-2</v>
      </c>
    </row>
    <row r="35" spans="1:2" x14ac:dyDescent="0.3">
      <c r="A35" t="s">
        <v>81</v>
      </c>
      <c r="B35">
        <f>B19/(1/0.002-1)</f>
        <v>0.35720300601202404</v>
      </c>
    </row>
    <row r="36" spans="1:2" x14ac:dyDescent="0.3">
      <c r="A36" t="s">
        <v>77</v>
      </c>
      <c r="B36">
        <f>B35+B19</f>
        <v>178.601503006012</v>
      </c>
    </row>
    <row r="37" spans="1:2" x14ac:dyDescent="0.3">
      <c r="A37" t="s">
        <v>82</v>
      </c>
      <c r="B37">
        <f>B36*0.002</f>
        <v>0.35720300601202398</v>
      </c>
    </row>
    <row r="38" spans="1:2" x14ac:dyDescent="0.3">
      <c r="A38" t="s">
        <v>18</v>
      </c>
      <c r="B38">
        <f>B36</f>
        <v>178.601503006012</v>
      </c>
    </row>
    <row r="39" spans="1:2" x14ac:dyDescent="0.3">
      <c r="A39" t="s">
        <v>71</v>
      </c>
    </row>
    <row r="40" spans="1:2" x14ac:dyDescent="0.3">
      <c r="A40" t="s">
        <v>72</v>
      </c>
    </row>
    <row r="41" spans="1:2" x14ac:dyDescent="0.3">
      <c r="A41" t="s">
        <v>73</v>
      </c>
    </row>
    <row r="42" spans="1:2" x14ac:dyDescent="0.3">
      <c r="A42" t="s">
        <v>74</v>
      </c>
    </row>
    <row r="44" spans="1:2" x14ac:dyDescent="0.3">
      <c r="A44" t="s">
        <v>76</v>
      </c>
    </row>
    <row r="45" spans="1:2" x14ac:dyDescent="0.3">
      <c r="A45" t="s">
        <v>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0831D-B1DD-4D08-8571-80FB728E55AA}">
  <dimension ref="A1:F56"/>
  <sheetViews>
    <sheetView workbookViewId="0">
      <selection activeCell="A5" sqref="A5:C5"/>
    </sheetView>
  </sheetViews>
  <sheetFormatPr defaultRowHeight="14.4" x14ac:dyDescent="0.3"/>
  <cols>
    <col min="1" max="1" width="23.21875" customWidth="1"/>
  </cols>
  <sheetData>
    <row r="1" spans="1:6" x14ac:dyDescent="0.3">
      <c r="C1" t="s">
        <v>144</v>
      </c>
      <c r="F1" t="s">
        <v>145</v>
      </c>
    </row>
    <row r="2" spans="1:6" x14ac:dyDescent="0.3">
      <c r="A2" t="s">
        <v>86</v>
      </c>
      <c r="B2" t="s">
        <v>5</v>
      </c>
      <c r="C2">
        <v>6.7299999999999999E-2</v>
      </c>
    </row>
    <row r="3" spans="1:6" x14ac:dyDescent="0.3">
      <c r="A3" t="s">
        <v>87</v>
      </c>
      <c r="B3" t="s">
        <v>5</v>
      </c>
      <c r="C3">
        <v>2.2890000000000001</v>
      </c>
    </row>
    <row r="4" spans="1:6" x14ac:dyDescent="0.3">
      <c r="A4" t="s">
        <v>88</v>
      </c>
      <c r="B4" t="s">
        <v>5</v>
      </c>
      <c r="C4">
        <v>0.14799999999999999</v>
      </c>
    </row>
    <row r="5" spans="1:6" x14ac:dyDescent="0.3">
      <c r="A5" t="s">
        <v>97</v>
      </c>
      <c r="B5" t="s">
        <v>5</v>
      </c>
      <c r="C5">
        <v>5.0799999999999998E-2</v>
      </c>
    </row>
    <row r="6" spans="1:6" x14ac:dyDescent="0.3">
      <c r="A6" t="s">
        <v>98</v>
      </c>
      <c r="B6" t="s">
        <v>5</v>
      </c>
      <c r="C6">
        <v>1.891</v>
      </c>
    </row>
    <row r="7" spans="1:6" x14ac:dyDescent="0.3">
      <c r="A7" t="s">
        <v>99</v>
      </c>
      <c r="B7" t="s">
        <v>5</v>
      </c>
      <c r="C7">
        <v>0.224</v>
      </c>
    </row>
    <row r="8" spans="1:6" x14ac:dyDescent="0.3">
      <c r="A8" t="s">
        <v>103</v>
      </c>
      <c r="B8" t="s">
        <v>5</v>
      </c>
      <c r="C8">
        <v>1.7099999999999999E-3</v>
      </c>
    </row>
    <row r="9" spans="1:6" x14ac:dyDescent="0.3">
      <c r="A9" t="s">
        <v>104</v>
      </c>
      <c r="B9" t="s">
        <v>5</v>
      </c>
      <c r="C9">
        <v>4.8800000000000003E-2</v>
      </c>
    </row>
    <row r="10" spans="1:6" x14ac:dyDescent="0.3">
      <c r="A10" t="s">
        <v>105</v>
      </c>
      <c r="B10" t="s">
        <v>5</v>
      </c>
      <c r="C10">
        <v>1.3100000000000001E-2</v>
      </c>
    </row>
    <row r="11" spans="1:6" x14ac:dyDescent="0.3">
      <c r="A11" t="s">
        <v>106</v>
      </c>
      <c r="B11" t="s">
        <v>5</v>
      </c>
      <c r="C11">
        <v>1.66E-3</v>
      </c>
    </row>
    <row r="12" spans="1:6" x14ac:dyDescent="0.3">
      <c r="A12" t="s">
        <v>107</v>
      </c>
      <c r="B12" t="s">
        <v>5</v>
      </c>
      <c r="C12">
        <v>4.9799999999999997E-2</v>
      </c>
    </row>
    <row r="13" spans="1:6" x14ac:dyDescent="0.3">
      <c r="A13" t="s">
        <v>108</v>
      </c>
      <c r="B13" t="s">
        <v>5</v>
      </c>
      <c r="C13">
        <v>1.8200000000000001E-2</v>
      </c>
    </row>
    <row r="14" spans="1:6" x14ac:dyDescent="0.3">
      <c r="A14" t="s">
        <v>109</v>
      </c>
      <c r="B14" t="s">
        <v>5</v>
      </c>
      <c r="C14">
        <v>2.7399999999999998E-3</v>
      </c>
    </row>
    <row r="15" spans="1:6" x14ac:dyDescent="0.3">
      <c r="A15" t="s">
        <v>110</v>
      </c>
      <c r="B15" t="s">
        <v>5</v>
      </c>
      <c r="C15">
        <v>9.5299999999999996E-2</v>
      </c>
    </row>
    <row r="16" spans="1:6" x14ac:dyDescent="0.3">
      <c r="A16" t="s">
        <v>111</v>
      </c>
      <c r="B16" t="s">
        <v>5</v>
      </c>
      <c r="C16">
        <v>8.7399999999999995E-3</v>
      </c>
    </row>
    <row r="17" spans="1:3" x14ac:dyDescent="0.3">
      <c r="A17" t="s">
        <v>113</v>
      </c>
      <c r="B17" t="s">
        <v>5</v>
      </c>
      <c r="C17">
        <v>1.0699999999999999E-2</v>
      </c>
    </row>
    <row r="18" spans="1:3" x14ac:dyDescent="0.3">
      <c r="A18" t="s">
        <v>114</v>
      </c>
      <c r="B18" t="s">
        <v>5</v>
      </c>
      <c r="C18">
        <v>0.42899999999999999</v>
      </c>
    </row>
    <row r="19" spans="1:3" x14ac:dyDescent="0.3">
      <c r="A19" t="s">
        <v>115</v>
      </c>
      <c r="B19" t="s">
        <v>5</v>
      </c>
      <c r="C19">
        <v>0.183</v>
      </c>
    </row>
    <row r="20" spans="1:3" x14ac:dyDescent="0.3">
      <c r="A20" t="s">
        <v>116</v>
      </c>
      <c r="B20" t="s">
        <v>5</v>
      </c>
      <c r="C20">
        <v>5.0000000000000001E-3</v>
      </c>
    </row>
    <row r="21" spans="1:3" x14ac:dyDescent="0.3">
      <c r="A21" t="s">
        <v>117</v>
      </c>
      <c r="B21" t="s">
        <v>5</v>
      </c>
      <c r="C21">
        <v>0.3</v>
      </c>
    </row>
    <row r="22" spans="1:3" x14ac:dyDescent="0.3">
      <c r="A22" t="s">
        <v>118</v>
      </c>
      <c r="B22" t="s">
        <v>5</v>
      </c>
      <c r="C22">
        <v>5.5E-2</v>
      </c>
    </row>
    <row r="23" spans="1:3" x14ac:dyDescent="0.3">
      <c r="A23" t="s">
        <v>119</v>
      </c>
      <c r="B23" t="s">
        <v>5</v>
      </c>
      <c r="C23">
        <v>0.27400000000000002</v>
      </c>
    </row>
    <row r="24" spans="1:3" x14ac:dyDescent="0.3">
      <c r="A24" t="s">
        <v>120</v>
      </c>
      <c r="B24" t="s">
        <v>5</v>
      </c>
      <c r="C24">
        <v>0.15</v>
      </c>
    </row>
    <row r="25" spans="1:3" x14ac:dyDescent="0.3">
      <c r="A25" t="s">
        <v>121</v>
      </c>
      <c r="B25" t="s">
        <v>5</v>
      </c>
      <c r="C25">
        <v>3.91</v>
      </c>
    </row>
    <row r="26" spans="1:3" x14ac:dyDescent="0.3">
      <c r="A26" t="s">
        <v>122</v>
      </c>
      <c r="B26" t="s">
        <v>5</v>
      </c>
      <c r="C26">
        <v>0.66200000000000003</v>
      </c>
    </row>
    <row r="27" spans="1:3" x14ac:dyDescent="0.3">
      <c r="A27" t="s">
        <v>123</v>
      </c>
      <c r="B27" t="s">
        <v>5</v>
      </c>
      <c r="C27">
        <v>2.4299999999999999E-2</v>
      </c>
    </row>
    <row r="28" spans="1:3" x14ac:dyDescent="0.3">
      <c r="A28" t="s">
        <v>124</v>
      </c>
      <c r="B28" t="s">
        <v>5</v>
      </c>
      <c r="C28">
        <v>0.83099999999999996</v>
      </c>
    </row>
    <row r="29" spans="1:3" x14ac:dyDescent="0.3">
      <c r="A29" t="s">
        <v>125</v>
      </c>
      <c r="B29" t="s">
        <v>5</v>
      </c>
      <c r="C29">
        <v>0.20399999999999999</v>
      </c>
    </row>
    <row r="30" spans="1:3" x14ac:dyDescent="0.3">
      <c r="A30" t="s">
        <v>126</v>
      </c>
      <c r="B30" t="s">
        <v>5</v>
      </c>
      <c r="C30">
        <v>5.1800000000000001E-4</v>
      </c>
    </row>
    <row r="31" spans="1:3" x14ac:dyDescent="0.3">
      <c r="A31" t="s">
        <v>127</v>
      </c>
      <c r="B31" t="s">
        <v>5</v>
      </c>
      <c r="C31">
        <v>1.7999999999999999E-2</v>
      </c>
    </row>
    <row r="32" spans="1:3" x14ac:dyDescent="0.3">
      <c r="A32" t="s">
        <v>128</v>
      </c>
      <c r="B32" t="s">
        <v>5</v>
      </c>
      <c r="C32">
        <v>5.7000000000000002E-3</v>
      </c>
    </row>
    <row r="33" spans="1:3" x14ac:dyDescent="0.3">
      <c r="A33" t="s">
        <v>131</v>
      </c>
      <c r="B33" t="s">
        <v>5</v>
      </c>
      <c r="C33">
        <v>1.9300000000000001E-3</v>
      </c>
    </row>
    <row r="34" spans="1:3" x14ac:dyDescent="0.3">
      <c r="A34" t="s">
        <v>132</v>
      </c>
      <c r="B34" t="s">
        <v>5</v>
      </c>
      <c r="C34">
        <v>6.7100000000000007E-2</v>
      </c>
    </row>
    <row r="35" spans="1:3" x14ac:dyDescent="0.3">
      <c r="A35" t="s">
        <v>133</v>
      </c>
      <c r="B35" t="s">
        <v>5</v>
      </c>
      <c r="C35">
        <v>6.1500000000000001E-3</v>
      </c>
    </row>
    <row r="36" spans="1:3" x14ac:dyDescent="0.3">
      <c r="A36" t="s">
        <v>134</v>
      </c>
      <c r="B36" t="s">
        <v>5</v>
      </c>
      <c r="C36">
        <v>1.7000000000000001E-2</v>
      </c>
    </row>
    <row r="37" spans="1:3" x14ac:dyDescent="0.3">
      <c r="A37" t="s">
        <v>135</v>
      </c>
      <c r="B37" t="s">
        <v>5</v>
      </c>
      <c r="C37">
        <v>1.125</v>
      </c>
    </row>
    <row r="38" spans="1:3" x14ac:dyDescent="0.3">
      <c r="A38" t="s">
        <v>136</v>
      </c>
      <c r="B38" t="s">
        <v>5</v>
      </c>
      <c r="C38">
        <v>0.127</v>
      </c>
    </row>
    <row r="39" spans="1:3" x14ac:dyDescent="0.3">
      <c r="A39" t="s">
        <v>137</v>
      </c>
      <c r="B39" t="s">
        <v>5</v>
      </c>
      <c r="C39">
        <v>1.1100000000000001E-3</v>
      </c>
    </row>
    <row r="40" spans="1:3" x14ac:dyDescent="0.3">
      <c r="A40" t="s">
        <v>138</v>
      </c>
      <c r="B40" t="s">
        <v>5</v>
      </c>
      <c r="C40">
        <v>4.4299999999999999E-2</v>
      </c>
    </row>
    <row r="41" spans="1:3" x14ac:dyDescent="0.3">
      <c r="A41" t="s">
        <v>139</v>
      </c>
      <c r="B41" t="s">
        <v>5</v>
      </c>
      <c r="C41">
        <v>2.6800000000000001E-2</v>
      </c>
    </row>
    <row r="42" spans="1:3" x14ac:dyDescent="0.3">
      <c r="A42" t="s">
        <v>141</v>
      </c>
      <c r="B42" t="s">
        <v>5</v>
      </c>
      <c r="C42">
        <v>3.2100000000000001E-5</v>
      </c>
    </row>
    <row r="43" spans="1:3" x14ac:dyDescent="0.3">
      <c r="A43" t="s">
        <v>142</v>
      </c>
      <c r="B43" t="s">
        <v>5</v>
      </c>
      <c r="C43">
        <v>1.09E-3</v>
      </c>
    </row>
    <row r="44" spans="1:3" x14ac:dyDescent="0.3">
      <c r="A44" t="s">
        <v>143</v>
      </c>
      <c r="B44" t="s">
        <v>5</v>
      </c>
      <c r="C44">
        <v>3.5300000000000002E-4</v>
      </c>
    </row>
    <row r="46" spans="1:3" x14ac:dyDescent="0.3">
      <c r="A46" t="s">
        <v>90</v>
      </c>
      <c r="B46" t="s">
        <v>5</v>
      </c>
      <c r="C46">
        <v>0.90900000000000003</v>
      </c>
    </row>
    <row r="47" spans="1:3" x14ac:dyDescent="0.3">
      <c r="A47" t="s">
        <v>91</v>
      </c>
      <c r="B47" t="s">
        <v>5</v>
      </c>
      <c r="C47" t="s">
        <v>92</v>
      </c>
    </row>
    <row r="48" spans="1:3" x14ac:dyDescent="0.3">
      <c r="A48" t="s">
        <v>93</v>
      </c>
      <c r="B48" t="s">
        <v>5</v>
      </c>
      <c r="C48" t="s">
        <v>94</v>
      </c>
    </row>
    <row r="49" spans="1:6" x14ac:dyDescent="0.3">
      <c r="A49" t="s">
        <v>89</v>
      </c>
      <c r="B49" t="s">
        <v>5</v>
      </c>
      <c r="C49">
        <v>7.2500000000000004E-3</v>
      </c>
      <c r="E49" t="s">
        <v>95</v>
      </c>
      <c r="F49" t="s">
        <v>96</v>
      </c>
    </row>
    <row r="50" spans="1:6" x14ac:dyDescent="0.3">
      <c r="A50" t="s">
        <v>100</v>
      </c>
      <c r="B50" t="s">
        <v>5</v>
      </c>
      <c r="C50">
        <v>0.26100000000000001</v>
      </c>
    </row>
    <row r="51" spans="1:6" x14ac:dyDescent="0.3">
      <c r="A51" t="s">
        <v>101</v>
      </c>
      <c r="B51" t="s">
        <v>5</v>
      </c>
      <c r="C51">
        <v>3.1899999999999998E-2</v>
      </c>
    </row>
    <row r="52" spans="1:6" x14ac:dyDescent="0.3">
      <c r="A52" t="s">
        <v>102</v>
      </c>
      <c r="B52" t="s">
        <v>5</v>
      </c>
      <c r="C52">
        <v>7.4999999999999997E-3</v>
      </c>
    </row>
    <row r="53" spans="1:6" x14ac:dyDescent="0.3">
      <c r="A53" t="s">
        <v>112</v>
      </c>
      <c r="B53" t="s">
        <v>5</v>
      </c>
      <c r="C53">
        <v>2.2499999999999999E-2</v>
      </c>
    </row>
    <row r="54" spans="1:6" x14ac:dyDescent="0.3">
      <c r="A54" t="s">
        <v>130</v>
      </c>
      <c r="B54" t="s">
        <v>5</v>
      </c>
      <c r="C54">
        <v>0.09</v>
      </c>
    </row>
    <row r="55" spans="1:6" x14ac:dyDescent="0.3">
      <c r="A55" t="s">
        <v>140</v>
      </c>
      <c r="B55" t="s">
        <v>5</v>
      </c>
      <c r="C55">
        <v>2.2499999999999999E-2</v>
      </c>
    </row>
    <row r="56" spans="1:6" x14ac:dyDescent="0.3">
      <c r="A56" t="s">
        <v>129</v>
      </c>
      <c r="B56" t="s">
        <v>5</v>
      </c>
      <c r="C56">
        <v>3.1259999999999999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B769C-AC69-4520-A16D-AE60408501A4}">
  <dimension ref="A1:J39"/>
  <sheetViews>
    <sheetView topLeftCell="A19" workbookViewId="0">
      <selection activeCell="A40" sqref="A40:XFD40"/>
    </sheetView>
  </sheetViews>
  <sheetFormatPr defaultRowHeight="14.4" x14ac:dyDescent="0.3"/>
  <sheetData>
    <row r="1" spans="1:10" ht="16.2" thickBot="1" x14ac:dyDescent="0.35">
      <c r="A1" s="3"/>
      <c r="B1" s="19" t="s">
        <v>146</v>
      </c>
      <c r="C1" s="19" t="s">
        <v>147</v>
      </c>
      <c r="D1" s="19" t="s">
        <v>148</v>
      </c>
      <c r="E1" s="19" t="s">
        <v>149</v>
      </c>
      <c r="F1" s="19" t="s">
        <v>150</v>
      </c>
      <c r="G1" s="19" t="s">
        <v>151</v>
      </c>
      <c r="H1" s="19" t="s">
        <v>152</v>
      </c>
      <c r="I1" s="19" t="s">
        <v>153</v>
      </c>
      <c r="J1" s="5"/>
    </row>
    <row r="2" spans="1:10" ht="15.6" thickBot="1" x14ac:dyDescent="0.35">
      <c r="A2" s="8"/>
      <c r="B2" s="16" t="s">
        <v>154</v>
      </c>
      <c r="C2" s="16" t="s">
        <v>154</v>
      </c>
      <c r="D2" s="16" t="s">
        <v>154</v>
      </c>
      <c r="E2" s="8" t="s">
        <v>154</v>
      </c>
      <c r="F2" s="16" t="s">
        <v>154</v>
      </c>
      <c r="G2" s="16" t="s">
        <v>154</v>
      </c>
      <c r="H2" s="16" t="s">
        <v>155</v>
      </c>
      <c r="I2" s="16" t="s">
        <v>155</v>
      </c>
      <c r="J2" s="16"/>
    </row>
    <row r="3" spans="1:10" ht="16.2" thickTop="1" x14ac:dyDescent="0.3">
      <c r="A3" s="13" t="s">
        <v>160</v>
      </c>
      <c r="B3" s="12">
        <v>1.98</v>
      </c>
      <c r="C3" s="12">
        <v>2.18E-2</v>
      </c>
      <c r="D3" s="7">
        <v>1.78E-2</v>
      </c>
      <c r="E3" s="12">
        <v>0.33700000000000002</v>
      </c>
      <c r="F3" s="12">
        <v>9.9100000000000004E-3</v>
      </c>
      <c r="G3" s="12">
        <v>1.6</v>
      </c>
      <c r="H3" s="12">
        <v>13.4</v>
      </c>
      <c r="I3" s="7">
        <v>11</v>
      </c>
    </row>
    <row r="4" spans="1:10" ht="15.6" x14ac:dyDescent="0.3">
      <c r="A4" s="9" t="s">
        <v>161</v>
      </c>
      <c r="B4" s="7">
        <v>2.82</v>
      </c>
      <c r="C4" s="7">
        <v>6.2100000000000002E-2</v>
      </c>
      <c r="D4" s="7">
        <v>5.0799999999999998E-2</v>
      </c>
      <c r="E4" s="7">
        <v>0.52500000000000002</v>
      </c>
      <c r="F4" s="7">
        <v>1.41E-2</v>
      </c>
      <c r="G4" s="7">
        <v>2.17</v>
      </c>
      <c r="H4" s="7">
        <v>15.2</v>
      </c>
      <c r="I4" s="7">
        <v>12.4</v>
      </c>
    </row>
    <row r="5" spans="1:10" ht="15.6" x14ac:dyDescent="0.3">
      <c r="A5" s="14" t="s">
        <v>156</v>
      </c>
      <c r="B5" s="15">
        <v>0.152</v>
      </c>
      <c r="C5" s="15">
        <v>5.8500000000000002E-3</v>
      </c>
      <c r="D5" s="7">
        <v>4.79E-3</v>
      </c>
      <c r="E5" s="15">
        <v>2.1700000000000001E-2</v>
      </c>
      <c r="F5" s="15">
        <v>7.6000000000000004E-4</v>
      </c>
      <c r="G5" s="15">
        <v>0.11899999999999999</v>
      </c>
      <c r="H5" s="15">
        <v>36.5</v>
      </c>
      <c r="I5" s="7">
        <v>29.9</v>
      </c>
    </row>
    <row r="6" spans="1:10" ht="15.6" x14ac:dyDescent="0.3">
      <c r="A6" s="9" t="s">
        <v>162</v>
      </c>
      <c r="B6" s="7">
        <v>0.52500000000000002</v>
      </c>
      <c r="C6" s="7">
        <v>2.8899999999999999E-2</v>
      </c>
      <c r="D6" s="7">
        <v>2.3599999999999999E-2</v>
      </c>
      <c r="E6" s="7">
        <v>7.8799999999999995E-2</v>
      </c>
      <c r="F6" s="7">
        <v>2.63E-3</v>
      </c>
      <c r="G6" s="7">
        <v>0.39100000000000001</v>
      </c>
      <c r="H6" s="7">
        <v>68.5</v>
      </c>
      <c r="I6" s="7">
        <v>56.1</v>
      </c>
    </row>
    <row r="7" spans="1:10" ht="15.6" x14ac:dyDescent="0.3">
      <c r="A7" s="9" t="s">
        <v>165</v>
      </c>
      <c r="B7" s="7">
        <v>0.314</v>
      </c>
      <c r="C7" s="7">
        <v>5.0000000000000001E-3</v>
      </c>
      <c r="D7" s="7">
        <v>4.0899999999999999E-3</v>
      </c>
      <c r="E7" s="7">
        <v>5.45E-2</v>
      </c>
      <c r="F7" s="7">
        <v>1.57E-3</v>
      </c>
      <c r="G7" s="7">
        <v>0.248</v>
      </c>
      <c r="H7" s="7">
        <v>17.3</v>
      </c>
      <c r="I7" s="7">
        <v>14.1</v>
      </c>
    </row>
    <row r="8" spans="1:10" ht="15.6" x14ac:dyDescent="0.3">
      <c r="A8" s="9" t="s">
        <v>163</v>
      </c>
      <c r="B8" s="7">
        <v>1.93</v>
      </c>
      <c r="C8" s="7">
        <v>0.16400000000000001</v>
      </c>
      <c r="D8" s="7">
        <v>0.13400000000000001</v>
      </c>
      <c r="E8" s="7">
        <v>0.38500000000000001</v>
      </c>
      <c r="F8" s="7">
        <v>9.6299999999999997E-3</v>
      </c>
      <c r="G8" s="7">
        <v>1.23</v>
      </c>
      <c r="H8" s="7">
        <v>10.3</v>
      </c>
      <c r="I8" s="7">
        <v>8.4</v>
      </c>
    </row>
    <row r="9" spans="1:10" ht="15.6" x14ac:dyDescent="0.3">
      <c r="A9" s="9" t="s">
        <v>157</v>
      </c>
      <c r="B9" s="7">
        <v>0.20399999999999999</v>
      </c>
      <c r="C9" s="7">
        <v>2.9499999999999998E-2</v>
      </c>
      <c r="D9" s="7">
        <v>2.41E-2</v>
      </c>
      <c r="E9" s="7">
        <v>3.8399999999999997E-2</v>
      </c>
      <c r="F9" s="7">
        <v>1.0200000000000001E-3</v>
      </c>
      <c r="G9" s="7">
        <v>0.111</v>
      </c>
      <c r="H9" s="7">
        <v>373</v>
      </c>
      <c r="I9" s="7">
        <v>305</v>
      </c>
    </row>
    <row r="10" spans="1:10" ht="15.6" x14ac:dyDescent="0.3">
      <c r="A10" s="9" t="s">
        <v>158</v>
      </c>
      <c r="B10" s="7">
        <v>11.3</v>
      </c>
      <c r="C10" s="7">
        <v>0.249</v>
      </c>
      <c r="D10" s="7">
        <v>0.20399999999999999</v>
      </c>
      <c r="E10" s="7">
        <v>1.47</v>
      </c>
      <c r="F10" s="7">
        <v>5.6599999999999998E-2</v>
      </c>
      <c r="G10" s="7">
        <v>9.34</v>
      </c>
      <c r="H10" s="7">
        <v>86.1</v>
      </c>
      <c r="I10" s="7">
        <v>70.5</v>
      </c>
    </row>
    <row r="11" spans="1:10" ht="15.6" x14ac:dyDescent="0.3">
      <c r="A11" s="9" t="s">
        <v>84</v>
      </c>
      <c r="B11" s="7">
        <v>0.46500000000000002</v>
      </c>
      <c r="C11" s="7">
        <v>1.95E-2</v>
      </c>
      <c r="D11" s="7">
        <v>1.6E-2</v>
      </c>
      <c r="E11" s="7">
        <v>7.9699999999999993E-2</v>
      </c>
      <c r="F11" s="7">
        <v>2.33E-3</v>
      </c>
      <c r="G11" s="7">
        <v>0.34799999999999998</v>
      </c>
      <c r="H11" s="7">
        <v>10.9</v>
      </c>
      <c r="I11" s="7">
        <v>8.91</v>
      </c>
    </row>
    <row r="12" spans="1:10" ht="15.6" x14ac:dyDescent="0.3">
      <c r="A12" s="9" t="s">
        <v>166</v>
      </c>
      <c r="B12" s="7">
        <v>9.7000000000000003E-2</v>
      </c>
      <c r="C12" s="7">
        <v>5.3400000000000001E-3</v>
      </c>
      <c r="D12" s="7">
        <v>4.3699999999999998E-3</v>
      </c>
      <c r="E12" s="7">
        <v>1.6899999999999998E-2</v>
      </c>
      <c r="F12" s="7">
        <v>4.8500000000000003E-4</v>
      </c>
      <c r="G12" s="7">
        <v>6.9900000000000004E-2</v>
      </c>
      <c r="H12" s="7">
        <v>6.24</v>
      </c>
      <c r="I12" s="7">
        <v>5.0999999999999996</v>
      </c>
    </row>
    <row r="13" spans="1:10" ht="15.6" x14ac:dyDescent="0.3">
      <c r="A13" s="9" t="s">
        <v>164</v>
      </c>
      <c r="B13" s="7">
        <v>0.72799999999999998</v>
      </c>
      <c r="C13" s="7">
        <v>1.1599999999999999E-2</v>
      </c>
      <c r="D13" s="7">
        <v>9.4999999999999998E-3</v>
      </c>
      <c r="E13" s="7">
        <v>0.127</v>
      </c>
      <c r="F13" s="7">
        <v>3.64E-3</v>
      </c>
      <c r="G13" s="7">
        <v>0.57699999999999996</v>
      </c>
      <c r="H13" s="7">
        <v>58.1</v>
      </c>
      <c r="I13" s="7">
        <v>47.5</v>
      </c>
    </row>
    <row r="14" spans="1:10" ht="15.6" x14ac:dyDescent="0.3">
      <c r="A14" s="9" t="s">
        <v>159</v>
      </c>
      <c r="B14" s="7">
        <v>5.0199999999999996</v>
      </c>
      <c r="C14" s="7">
        <v>0.188</v>
      </c>
      <c r="D14" s="7">
        <v>0.154</v>
      </c>
      <c r="E14" s="7">
        <v>1.66</v>
      </c>
      <c r="F14" s="7">
        <v>2.5100000000000001E-2</v>
      </c>
      <c r="G14" s="7">
        <v>3</v>
      </c>
      <c r="H14" s="7">
        <v>27.8</v>
      </c>
      <c r="I14" s="7">
        <v>22.8</v>
      </c>
    </row>
    <row r="15" spans="1:10" ht="15.6" x14ac:dyDescent="0.3">
      <c r="A15" s="9" t="s">
        <v>168</v>
      </c>
      <c r="B15" s="7">
        <v>0.127</v>
      </c>
      <c r="C15" s="7">
        <v>1.54E-2</v>
      </c>
      <c r="D15" s="7">
        <v>1.26E-2</v>
      </c>
      <c r="E15" s="7">
        <v>2.5399999999999999E-2</v>
      </c>
      <c r="F15" s="7">
        <v>6.3500000000000004E-4</v>
      </c>
      <c r="G15" s="7">
        <v>7.2999999999999995E-2</v>
      </c>
      <c r="H15" s="7">
        <v>8.18</v>
      </c>
      <c r="I15" s="7">
        <v>6.7</v>
      </c>
    </row>
    <row r="16" spans="1:10" ht="15.6" x14ac:dyDescent="0.3">
      <c r="A16" s="9" t="s">
        <v>167</v>
      </c>
      <c r="B16" s="7">
        <v>8.9999999999999993E-3</v>
      </c>
      <c r="C16" s="7">
        <v>5.0000000000000001E-4</v>
      </c>
      <c r="D16" s="7">
        <v>4.0499999999999998E-4</v>
      </c>
      <c r="E16" s="7">
        <v>1.5299999999999999E-3</v>
      </c>
      <c r="F16" s="7">
        <v>5.0000000000000002E-5</v>
      </c>
      <c r="G16" s="7">
        <v>6.5300000000000002E-3</v>
      </c>
      <c r="H16" s="7">
        <v>1.19</v>
      </c>
      <c r="I16" s="7">
        <v>0.97</v>
      </c>
    </row>
    <row r="17" spans="1:9" ht="15.6" x14ac:dyDescent="0.3">
      <c r="A17" s="9" t="s">
        <v>67</v>
      </c>
      <c r="B17" s="7">
        <v>0.113</v>
      </c>
      <c r="C17" s="7" t="s">
        <v>95</v>
      </c>
      <c r="D17" s="7" t="s">
        <v>95</v>
      </c>
      <c r="E17" s="7" t="s">
        <v>95</v>
      </c>
      <c r="F17" s="7" t="s">
        <v>95</v>
      </c>
      <c r="G17" s="7">
        <v>0.113</v>
      </c>
      <c r="H17" s="7">
        <v>1.65</v>
      </c>
      <c r="I17" s="7">
        <v>1.35</v>
      </c>
    </row>
    <row r="18" spans="1:9" ht="15.6" x14ac:dyDescent="0.3">
      <c r="A18" s="9" t="s">
        <v>68</v>
      </c>
      <c r="B18" s="7">
        <v>0.94399999999999995</v>
      </c>
      <c r="C18" s="7" t="s">
        <v>95</v>
      </c>
      <c r="D18" s="7" t="s">
        <v>95</v>
      </c>
      <c r="E18" s="7" t="s">
        <v>95</v>
      </c>
      <c r="F18" s="7" t="s">
        <v>95</v>
      </c>
      <c r="G18" s="7" t="s">
        <v>95</v>
      </c>
      <c r="H18" s="7">
        <v>373</v>
      </c>
      <c r="I18" s="7" t="s">
        <v>95</v>
      </c>
    </row>
    <row r="19" spans="1:9" ht="16.2" thickBot="1" x14ac:dyDescent="0.35">
      <c r="A19" s="10" t="s">
        <v>169</v>
      </c>
      <c r="B19" s="11">
        <v>0.77300000000000002</v>
      </c>
      <c r="C19" s="11" t="s">
        <v>95</v>
      </c>
      <c r="D19" s="11" t="s">
        <v>95</v>
      </c>
      <c r="E19" s="11" t="s">
        <v>95</v>
      </c>
      <c r="F19" s="11" t="s">
        <v>95</v>
      </c>
      <c r="G19" s="11" t="s">
        <v>95</v>
      </c>
      <c r="H19" s="11" t="s">
        <v>95</v>
      </c>
      <c r="I19" s="11">
        <v>305</v>
      </c>
    </row>
    <row r="23" spans="1:9" x14ac:dyDescent="0.3">
      <c r="A23" t="str">
        <f>A3</f>
        <v>Adipose</v>
      </c>
      <c r="B23">
        <f>B3/1000</f>
        <v>1.98E-3</v>
      </c>
      <c r="C23">
        <f>C3/1000</f>
        <v>2.1800000000000001E-5</v>
      </c>
      <c r="D23">
        <f>D3/1000</f>
        <v>1.7799999999999999E-5</v>
      </c>
      <c r="E23">
        <f>E3/1000</f>
        <v>3.3700000000000001E-4</v>
      </c>
      <c r="F23">
        <f t="shared" ref="C23:I23" si="0">F3/1000</f>
        <v>9.91E-6</v>
      </c>
      <c r="G23">
        <f t="shared" si="0"/>
        <v>1.6000000000000001E-3</v>
      </c>
      <c r="H23">
        <f t="shared" si="0"/>
        <v>1.34E-2</v>
      </c>
      <c r="I23">
        <f t="shared" si="0"/>
        <v>1.0999999999999999E-2</v>
      </c>
    </row>
    <row r="24" spans="1:9" x14ac:dyDescent="0.3">
      <c r="A24" t="str">
        <f t="shared" ref="A24:A39" si="1">A4</f>
        <v>Bone</v>
      </c>
      <c r="B24">
        <f t="shared" ref="B24:I24" si="2">B4/1000</f>
        <v>2.82E-3</v>
      </c>
      <c r="C24">
        <f t="shared" si="2"/>
        <v>6.2100000000000005E-5</v>
      </c>
      <c r="D24">
        <f t="shared" si="2"/>
        <v>5.0799999999999995E-5</v>
      </c>
      <c r="E24">
        <f t="shared" si="2"/>
        <v>5.2500000000000008E-4</v>
      </c>
      <c r="F24">
        <f t="shared" si="2"/>
        <v>1.4100000000000001E-5</v>
      </c>
      <c r="G24">
        <f t="shared" si="2"/>
        <v>2.1700000000000001E-3</v>
      </c>
      <c r="H24">
        <f t="shared" si="2"/>
        <v>1.52E-2</v>
      </c>
      <c r="I24">
        <f t="shared" si="2"/>
        <v>1.24E-2</v>
      </c>
    </row>
    <row r="25" spans="1:9" x14ac:dyDescent="0.3">
      <c r="A25" t="str">
        <f t="shared" si="1"/>
        <v>Heart</v>
      </c>
      <c r="B25">
        <f t="shared" ref="B25:I25" si="3">B5/1000</f>
        <v>1.5200000000000001E-4</v>
      </c>
      <c r="C25">
        <f t="shared" si="3"/>
        <v>5.8499999999999999E-6</v>
      </c>
      <c r="D25">
        <f t="shared" si="3"/>
        <v>4.7899999999999999E-6</v>
      </c>
      <c r="E25">
        <f t="shared" si="3"/>
        <v>2.1699999999999999E-5</v>
      </c>
      <c r="F25">
        <f t="shared" si="3"/>
        <v>7.6000000000000003E-7</v>
      </c>
      <c r="G25">
        <f t="shared" si="3"/>
        <v>1.1899999999999999E-4</v>
      </c>
      <c r="H25">
        <f t="shared" si="3"/>
        <v>3.6499999999999998E-2</v>
      </c>
      <c r="I25">
        <f t="shared" si="3"/>
        <v>2.9899999999999999E-2</v>
      </c>
    </row>
    <row r="26" spans="1:9" x14ac:dyDescent="0.3">
      <c r="A26" t="str">
        <f t="shared" si="1"/>
        <v>Kidney</v>
      </c>
      <c r="B26">
        <f t="shared" ref="B26:I26" si="4">B6/1000</f>
        <v>5.2500000000000008E-4</v>
      </c>
      <c r="C26">
        <f t="shared" si="4"/>
        <v>2.8899999999999998E-5</v>
      </c>
      <c r="D26">
        <f t="shared" si="4"/>
        <v>2.3600000000000001E-5</v>
      </c>
      <c r="E26">
        <f t="shared" si="4"/>
        <v>7.8799999999999991E-5</v>
      </c>
      <c r="F26">
        <f t="shared" si="4"/>
        <v>2.6299999999999998E-6</v>
      </c>
      <c r="G26">
        <f t="shared" si="4"/>
        <v>3.9100000000000002E-4</v>
      </c>
      <c r="H26">
        <f t="shared" si="4"/>
        <v>6.8500000000000005E-2</v>
      </c>
      <c r="I26">
        <f t="shared" si="4"/>
        <v>5.6100000000000004E-2</v>
      </c>
    </row>
    <row r="27" spans="1:9" x14ac:dyDescent="0.3">
      <c r="A27" t="str">
        <f t="shared" si="1"/>
        <v>L. Intestine</v>
      </c>
      <c r="B27">
        <f t="shared" ref="B27:I27" si="5">B7/1000</f>
        <v>3.1399999999999999E-4</v>
      </c>
      <c r="C27">
        <f t="shared" si="5"/>
        <v>5.0000000000000004E-6</v>
      </c>
      <c r="D27">
        <f t="shared" si="5"/>
        <v>4.0899999999999998E-6</v>
      </c>
      <c r="E27">
        <f t="shared" si="5"/>
        <v>5.4499999999999997E-5</v>
      </c>
      <c r="F27">
        <f t="shared" si="5"/>
        <v>1.57E-6</v>
      </c>
      <c r="G27">
        <f t="shared" si="5"/>
        <v>2.4800000000000001E-4</v>
      </c>
      <c r="H27">
        <f t="shared" si="5"/>
        <v>1.7299999999999999E-2</v>
      </c>
      <c r="I27">
        <f t="shared" si="5"/>
        <v>1.41E-2</v>
      </c>
    </row>
    <row r="28" spans="1:9" x14ac:dyDescent="0.3">
      <c r="A28" t="str">
        <f t="shared" si="1"/>
        <v>Liver</v>
      </c>
      <c r="B28">
        <f t="shared" ref="B28:I28" si="6">B8/1000</f>
        <v>1.9299999999999999E-3</v>
      </c>
      <c r="C28">
        <f t="shared" si="6"/>
        <v>1.64E-4</v>
      </c>
      <c r="D28">
        <f t="shared" si="6"/>
        <v>1.34E-4</v>
      </c>
      <c r="E28">
        <f t="shared" si="6"/>
        <v>3.8500000000000003E-4</v>
      </c>
      <c r="F28">
        <f t="shared" si="6"/>
        <v>9.6299999999999993E-6</v>
      </c>
      <c r="G28">
        <f t="shared" si="6"/>
        <v>1.23E-3</v>
      </c>
      <c r="H28">
        <f t="shared" si="6"/>
        <v>1.03E-2</v>
      </c>
      <c r="I28">
        <f t="shared" si="6"/>
        <v>8.4000000000000012E-3</v>
      </c>
    </row>
    <row r="29" spans="1:9" x14ac:dyDescent="0.3">
      <c r="A29" t="str">
        <f t="shared" si="1"/>
        <v>Lung</v>
      </c>
      <c r="B29">
        <f t="shared" ref="B29:I29" si="7">B9/1000</f>
        <v>2.04E-4</v>
      </c>
      <c r="C29">
        <f t="shared" si="7"/>
        <v>2.9499999999999999E-5</v>
      </c>
      <c r="D29">
        <f t="shared" si="7"/>
        <v>2.41E-5</v>
      </c>
      <c r="E29">
        <f t="shared" si="7"/>
        <v>3.8399999999999998E-5</v>
      </c>
      <c r="F29">
        <f t="shared" si="7"/>
        <v>1.02E-6</v>
      </c>
      <c r="G29">
        <f t="shared" si="7"/>
        <v>1.11E-4</v>
      </c>
      <c r="H29">
        <f t="shared" si="7"/>
        <v>0.373</v>
      </c>
      <c r="I29">
        <f t="shared" si="7"/>
        <v>0.30499999999999999</v>
      </c>
    </row>
    <row r="30" spans="1:9" x14ac:dyDescent="0.3">
      <c r="A30" t="str">
        <f t="shared" si="1"/>
        <v>Muscle</v>
      </c>
      <c r="B30">
        <f t="shared" ref="B30:I30" si="8">B10/1000</f>
        <v>1.1300000000000001E-2</v>
      </c>
      <c r="C30">
        <f t="shared" si="8"/>
        <v>2.4899999999999998E-4</v>
      </c>
      <c r="D30">
        <f t="shared" si="8"/>
        <v>2.04E-4</v>
      </c>
      <c r="E30">
        <f t="shared" si="8"/>
        <v>1.47E-3</v>
      </c>
      <c r="F30">
        <f t="shared" si="8"/>
        <v>5.66E-5</v>
      </c>
      <c r="G30">
        <f t="shared" si="8"/>
        <v>9.3399999999999993E-3</v>
      </c>
      <c r="H30">
        <f t="shared" si="8"/>
        <v>8.6099999999999996E-2</v>
      </c>
      <c r="I30">
        <f t="shared" si="8"/>
        <v>7.0499999999999993E-2</v>
      </c>
    </row>
    <row r="31" spans="1:9" x14ac:dyDescent="0.3">
      <c r="A31" t="str">
        <f t="shared" si="1"/>
        <v>Other</v>
      </c>
      <c r="B31">
        <f t="shared" ref="B31:I31" si="9">B11/1000</f>
        <v>4.6500000000000003E-4</v>
      </c>
      <c r="C31">
        <f t="shared" si="9"/>
        <v>1.95E-5</v>
      </c>
      <c r="D31">
        <f t="shared" si="9"/>
        <v>1.5999999999999999E-5</v>
      </c>
      <c r="E31">
        <f t="shared" si="9"/>
        <v>7.9699999999999999E-5</v>
      </c>
      <c r="F31">
        <f t="shared" si="9"/>
        <v>2.3300000000000001E-6</v>
      </c>
      <c r="G31">
        <f t="shared" si="9"/>
        <v>3.48E-4</v>
      </c>
      <c r="H31">
        <f t="shared" si="9"/>
        <v>1.09E-2</v>
      </c>
      <c r="I31">
        <f t="shared" si="9"/>
        <v>8.9099999999999995E-3</v>
      </c>
    </row>
    <row r="32" spans="1:9" x14ac:dyDescent="0.3">
      <c r="A32" t="str">
        <f t="shared" si="1"/>
        <v>Pancreas</v>
      </c>
      <c r="B32">
        <f t="shared" ref="B32:I32" si="10">B12/1000</f>
        <v>9.7E-5</v>
      </c>
      <c r="C32">
        <f t="shared" si="10"/>
        <v>5.3400000000000005E-6</v>
      </c>
      <c r="D32">
        <f t="shared" si="10"/>
        <v>4.3699999999999997E-6</v>
      </c>
      <c r="E32">
        <f t="shared" si="10"/>
        <v>1.6899999999999997E-5</v>
      </c>
      <c r="F32">
        <f t="shared" si="10"/>
        <v>4.8500000000000002E-7</v>
      </c>
      <c r="G32">
        <f t="shared" si="10"/>
        <v>6.9900000000000005E-5</v>
      </c>
      <c r="H32">
        <f t="shared" si="10"/>
        <v>6.2399999999999999E-3</v>
      </c>
      <c r="I32">
        <f t="shared" si="10"/>
        <v>5.0999999999999995E-3</v>
      </c>
    </row>
    <row r="33" spans="1:9" x14ac:dyDescent="0.3">
      <c r="A33" t="str">
        <f t="shared" si="1"/>
        <v>S. Intestine</v>
      </c>
      <c r="B33">
        <f t="shared" ref="B33:I33" si="11">B13/1000</f>
        <v>7.2800000000000002E-4</v>
      </c>
      <c r="C33">
        <f t="shared" si="11"/>
        <v>1.1599999999999999E-5</v>
      </c>
      <c r="D33">
        <f t="shared" si="11"/>
        <v>9.5000000000000005E-6</v>
      </c>
      <c r="E33">
        <f t="shared" si="11"/>
        <v>1.27E-4</v>
      </c>
      <c r="F33">
        <f t="shared" si="11"/>
        <v>3.6399999999999999E-6</v>
      </c>
      <c r="G33">
        <f t="shared" si="11"/>
        <v>5.7699999999999993E-4</v>
      </c>
      <c r="H33">
        <f t="shared" si="11"/>
        <v>5.8099999999999999E-2</v>
      </c>
      <c r="I33">
        <f t="shared" si="11"/>
        <v>4.7500000000000001E-2</v>
      </c>
    </row>
    <row r="34" spans="1:9" x14ac:dyDescent="0.3">
      <c r="A34" t="str">
        <f t="shared" si="1"/>
        <v>Skin</v>
      </c>
      <c r="B34">
        <f t="shared" ref="B34:I34" si="12">B14/1000</f>
        <v>5.0199999999999993E-3</v>
      </c>
      <c r="C34">
        <f t="shared" si="12"/>
        <v>1.8799999999999999E-4</v>
      </c>
      <c r="D34">
        <f t="shared" si="12"/>
        <v>1.54E-4</v>
      </c>
      <c r="E34">
        <f t="shared" si="12"/>
        <v>1.66E-3</v>
      </c>
      <c r="F34">
        <f t="shared" si="12"/>
        <v>2.51E-5</v>
      </c>
      <c r="G34">
        <f t="shared" si="12"/>
        <v>3.0000000000000001E-3</v>
      </c>
      <c r="H34">
        <f t="shared" si="12"/>
        <v>2.7800000000000002E-2</v>
      </c>
      <c r="I34">
        <f t="shared" si="12"/>
        <v>2.2800000000000001E-2</v>
      </c>
    </row>
    <row r="35" spans="1:9" x14ac:dyDescent="0.3">
      <c r="A35" t="str">
        <f t="shared" si="1"/>
        <v>Spleen</v>
      </c>
      <c r="B35">
        <f t="shared" ref="B35:I35" si="13">B15/1000</f>
        <v>1.27E-4</v>
      </c>
      <c r="C35">
        <f t="shared" si="13"/>
        <v>1.5400000000000002E-5</v>
      </c>
      <c r="D35">
        <f t="shared" si="13"/>
        <v>1.26E-5</v>
      </c>
      <c r="E35">
        <f t="shared" si="13"/>
        <v>2.5399999999999997E-5</v>
      </c>
      <c r="F35">
        <f t="shared" si="13"/>
        <v>6.3500000000000006E-7</v>
      </c>
      <c r="G35">
        <f t="shared" si="13"/>
        <v>7.2999999999999999E-5</v>
      </c>
      <c r="H35">
        <f t="shared" si="13"/>
        <v>8.1799999999999998E-3</v>
      </c>
      <c r="I35">
        <f t="shared" si="13"/>
        <v>6.7000000000000002E-3</v>
      </c>
    </row>
    <row r="36" spans="1:9" x14ac:dyDescent="0.3">
      <c r="A36" t="str">
        <f t="shared" si="1"/>
        <v>Thymus</v>
      </c>
      <c r="B36">
        <f t="shared" ref="B36:I36" si="14">B16/1000</f>
        <v>8.9999999999999985E-6</v>
      </c>
      <c r="C36">
        <f t="shared" si="14"/>
        <v>4.9999999999999998E-7</v>
      </c>
      <c r="D36">
        <f t="shared" si="14"/>
        <v>4.0499999999999999E-7</v>
      </c>
      <c r="E36">
        <f t="shared" si="14"/>
        <v>1.53E-6</v>
      </c>
      <c r="F36">
        <f t="shared" si="14"/>
        <v>5.0000000000000004E-8</v>
      </c>
      <c r="G36">
        <f t="shared" si="14"/>
        <v>6.5300000000000002E-6</v>
      </c>
      <c r="H36">
        <f t="shared" si="14"/>
        <v>1.1899999999999999E-3</v>
      </c>
      <c r="I36">
        <f t="shared" si="14"/>
        <v>9.6999999999999994E-4</v>
      </c>
    </row>
    <row r="37" spans="1:9" x14ac:dyDescent="0.3">
      <c r="A37" t="str">
        <f t="shared" si="1"/>
        <v>Ly. Node</v>
      </c>
      <c r="B37">
        <f t="shared" ref="B37:I37" si="15">B17/1000</f>
        <v>1.1300000000000001E-4</v>
      </c>
      <c r="C37" t="e">
        <f t="shared" si="15"/>
        <v>#VALUE!</v>
      </c>
      <c r="D37" t="e">
        <f t="shared" si="15"/>
        <v>#VALUE!</v>
      </c>
      <c r="E37" t="e">
        <f t="shared" si="15"/>
        <v>#VALUE!</v>
      </c>
      <c r="F37" t="e">
        <f t="shared" si="15"/>
        <v>#VALUE!</v>
      </c>
      <c r="G37">
        <f t="shared" si="15"/>
        <v>1.1300000000000001E-4</v>
      </c>
      <c r="H37">
        <f t="shared" si="15"/>
        <v>1.65E-3</v>
      </c>
      <c r="I37">
        <f t="shared" si="15"/>
        <v>1.3500000000000001E-3</v>
      </c>
    </row>
    <row r="38" spans="1:9" x14ac:dyDescent="0.3">
      <c r="A38" t="str">
        <f t="shared" si="1"/>
        <v>Plasma</v>
      </c>
      <c r="B38">
        <f t="shared" ref="B38:I38" si="16">B18/1000</f>
        <v>9.4399999999999996E-4</v>
      </c>
      <c r="C38" t="e">
        <f t="shared" si="16"/>
        <v>#VALUE!</v>
      </c>
      <c r="D38" t="e">
        <f t="shared" si="16"/>
        <v>#VALUE!</v>
      </c>
      <c r="E38" t="e">
        <f t="shared" si="16"/>
        <v>#VALUE!</v>
      </c>
      <c r="F38" t="e">
        <f t="shared" si="16"/>
        <v>#VALUE!</v>
      </c>
      <c r="G38" t="e">
        <f t="shared" si="16"/>
        <v>#VALUE!</v>
      </c>
      <c r="H38">
        <f t="shared" si="16"/>
        <v>0.373</v>
      </c>
      <c r="I38" t="e">
        <f t="shared" si="16"/>
        <v>#VALUE!</v>
      </c>
    </row>
    <row r="39" spans="1:9" x14ac:dyDescent="0.3">
      <c r="A39" t="str">
        <f t="shared" si="1"/>
        <v>Blood Cells</v>
      </c>
      <c r="B39">
        <f t="shared" ref="B39:I39" si="17">B19/1000</f>
        <v>7.7300000000000003E-4</v>
      </c>
      <c r="C39" t="e">
        <f t="shared" si="17"/>
        <v>#VALUE!</v>
      </c>
      <c r="D39" t="e">
        <f t="shared" si="17"/>
        <v>#VALUE!</v>
      </c>
      <c r="E39" t="e">
        <f t="shared" si="17"/>
        <v>#VALUE!</v>
      </c>
      <c r="F39" t="e">
        <f t="shared" si="17"/>
        <v>#VALUE!</v>
      </c>
      <c r="G39" t="e">
        <f t="shared" si="17"/>
        <v>#VALUE!</v>
      </c>
      <c r="H39" t="e">
        <f t="shared" si="17"/>
        <v>#VALUE!</v>
      </c>
      <c r="I39">
        <f t="shared" si="17"/>
        <v>0.30499999999999999</v>
      </c>
    </row>
  </sheetData>
  <sortState xmlns:xlrd2="http://schemas.microsoft.com/office/spreadsheetml/2017/richdata2" ref="A3:I16">
    <sortCondition ref="A3:A1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AEFEE-36EA-4655-B0AC-D681AA633D44}">
  <dimension ref="A1:J38"/>
  <sheetViews>
    <sheetView tabSelected="1" topLeftCell="A16" workbookViewId="0">
      <selection activeCell="B21" sqref="B21:I21"/>
    </sheetView>
  </sheetViews>
  <sheetFormatPr defaultRowHeight="14.4" x14ac:dyDescent="0.3"/>
  <sheetData>
    <row r="1" spans="1:10" ht="16.2" thickBot="1" x14ac:dyDescent="0.35">
      <c r="A1" s="4"/>
      <c r="B1" s="19" t="s">
        <v>146</v>
      </c>
      <c r="C1" s="19" t="s">
        <v>147</v>
      </c>
      <c r="D1" s="19" t="s">
        <v>148</v>
      </c>
      <c r="E1" s="19" t="s">
        <v>149</v>
      </c>
      <c r="F1" s="19" t="s">
        <v>150</v>
      </c>
      <c r="G1" s="19" t="s">
        <v>151</v>
      </c>
      <c r="H1" s="19" t="s">
        <v>152</v>
      </c>
      <c r="I1" s="19" t="s">
        <v>153</v>
      </c>
      <c r="J1" s="5"/>
    </row>
    <row r="2" spans="1:10" ht="15.6" thickBot="1" x14ac:dyDescent="0.35">
      <c r="A2" s="6"/>
      <c r="B2" s="16" t="s">
        <v>154</v>
      </c>
      <c r="C2" s="16" t="s">
        <v>154</v>
      </c>
      <c r="D2" s="16" t="s">
        <v>154</v>
      </c>
      <c r="E2" s="16" t="s">
        <v>154</v>
      </c>
      <c r="F2" s="16" t="s">
        <v>154</v>
      </c>
      <c r="G2" s="16" t="s">
        <v>154</v>
      </c>
      <c r="H2" s="16" t="s">
        <v>155</v>
      </c>
      <c r="I2" s="16" t="s">
        <v>155</v>
      </c>
      <c r="J2" s="16"/>
    </row>
    <row r="3" spans="1:10" ht="16.2" thickTop="1" x14ac:dyDescent="0.3">
      <c r="A3" s="13" t="s">
        <v>156</v>
      </c>
      <c r="B3" s="12">
        <v>28.3</v>
      </c>
      <c r="C3" s="12">
        <v>1.0900000000000001</v>
      </c>
      <c r="D3" s="12">
        <v>0.89200000000000002</v>
      </c>
      <c r="E3" s="12">
        <v>4.05</v>
      </c>
      <c r="F3" s="12">
        <v>0.14199999999999999</v>
      </c>
      <c r="G3" s="12">
        <v>22.2</v>
      </c>
      <c r="H3" s="12">
        <v>696</v>
      </c>
      <c r="I3" s="7">
        <v>570</v>
      </c>
    </row>
    <row r="4" spans="1:10" ht="15.6" x14ac:dyDescent="0.3">
      <c r="A4" s="9" t="s">
        <v>157</v>
      </c>
      <c r="B4" s="7">
        <v>35.700000000000003</v>
      </c>
      <c r="C4" s="7">
        <v>1.96</v>
      </c>
      <c r="D4" s="7">
        <v>1.61</v>
      </c>
      <c r="E4" s="7">
        <v>10.7</v>
      </c>
      <c r="F4" s="7">
        <v>0.17899999999999999</v>
      </c>
      <c r="G4" s="7">
        <v>21.2</v>
      </c>
      <c r="H4" s="7">
        <v>22433</v>
      </c>
      <c r="I4" s="7">
        <v>18355</v>
      </c>
    </row>
    <row r="5" spans="1:10" ht="15.6" x14ac:dyDescent="0.3">
      <c r="A5" s="9" t="s">
        <v>158</v>
      </c>
      <c r="B5" s="7">
        <v>3273</v>
      </c>
      <c r="C5" s="7">
        <v>72</v>
      </c>
      <c r="D5" s="7">
        <v>58.9</v>
      </c>
      <c r="E5" s="7">
        <v>426</v>
      </c>
      <c r="F5" s="7">
        <v>16.399999999999999</v>
      </c>
      <c r="G5" s="7">
        <v>2701</v>
      </c>
      <c r="H5" s="7">
        <v>3944</v>
      </c>
      <c r="I5" s="7">
        <v>3227</v>
      </c>
    </row>
    <row r="6" spans="1:10" ht="15.6" x14ac:dyDescent="0.3">
      <c r="A6" s="9" t="s">
        <v>159</v>
      </c>
      <c r="B6" s="7">
        <v>674</v>
      </c>
      <c r="C6" s="7">
        <v>25.2</v>
      </c>
      <c r="D6" s="7">
        <v>20.6</v>
      </c>
      <c r="E6" s="7">
        <v>223</v>
      </c>
      <c r="F6" s="7">
        <v>3.37</v>
      </c>
      <c r="G6" s="7">
        <v>403</v>
      </c>
      <c r="H6" s="7">
        <v>2492</v>
      </c>
      <c r="I6" s="7">
        <v>2039</v>
      </c>
    </row>
    <row r="7" spans="1:10" ht="15.6" x14ac:dyDescent="0.3">
      <c r="A7" s="9" t="s">
        <v>160</v>
      </c>
      <c r="B7" s="7">
        <v>154</v>
      </c>
      <c r="C7" s="7">
        <v>1.7</v>
      </c>
      <c r="D7" s="7">
        <v>1.39</v>
      </c>
      <c r="E7" s="7">
        <v>26.3</v>
      </c>
      <c r="F7" s="7">
        <v>0.77200000000000002</v>
      </c>
      <c r="G7" s="7">
        <v>124</v>
      </c>
      <c r="H7" s="7">
        <v>139</v>
      </c>
      <c r="I7" s="7">
        <v>113</v>
      </c>
    </row>
    <row r="8" spans="1:10" ht="15.6" x14ac:dyDescent="0.3">
      <c r="A8" s="9" t="s">
        <v>161</v>
      </c>
      <c r="B8" s="7">
        <v>952</v>
      </c>
      <c r="C8" s="7">
        <v>20.9</v>
      </c>
      <c r="D8" s="7">
        <v>17.100000000000001</v>
      </c>
      <c r="E8" s="7">
        <v>177</v>
      </c>
      <c r="F8" s="7">
        <v>4.76</v>
      </c>
      <c r="G8" s="7">
        <v>732</v>
      </c>
      <c r="H8" s="7">
        <v>248</v>
      </c>
      <c r="I8" s="7">
        <v>203</v>
      </c>
    </row>
    <row r="9" spans="1:10" ht="15.6" x14ac:dyDescent="0.3">
      <c r="A9" s="9" t="s">
        <v>162</v>
      </c>
      <c r="B9" s="7">
        <v>27.3</v>
      </c>
      <c r="C9" s="7">
        <v>1.5</v>
      </c>
      <c r="D9" s="7">
        <v>1.23</v>
      </c>
      <c r="E9" s="7">
        <v>4.09</v>
      </c>
      <c r="F9" s="7">
        <v>0.13600000000000001</v>
      </c>
      <c r="G9" s="7">
        <v>20.3</v>
      </c>
      <c r="H9" s="7">
        <v>3237</v>
      </c>
      <c r="I9" s="7">
        <v>2649</v>
      </c>
    </row>
    <row r="10" spans="1:10" ht="15.6" x14ac:dyDescent="0.3">
      <c r="A10" s="9" t="s">
        <v>163</v>
      </c>
      <c r="B10" s="7">
        <v>187</v>
      </c>
      <c r="C10" s="7">
        <v>15.9</v>
      </c>
      <c r="D10" s="7">
        <v>13</v>
      </c>
      <c r="E10" s="7">
        <v>37.4</v>
      </c>
      <c r="F10" s="7">
        <v>0.93400000000000005</v>
      </c>
      <c r="G10" s="7">
        <v>120</v>
      </c>
      <c r="H10" s="7">
        <v>1251</v>
      </c>
      <c r="I10" s="7">
        <v>1023</v>
      </c>
    </row>
    <row r="11" spans="1:10" ht="15.6" x14ac:dyDescent="0.3">
      <c r="A11" s="9" t="s">
        <v>164</v>
      </c>
      <c r="B11" s="7">
        <v>98.7</v>
      </c>
      <c r="C11" s="7">
        <v>1.57</v>
      </c>
      <c r="D11" s="7">
        <v>1.29</v>
      </c>
      <c r="E11" s="7">
        <v>17.2</v>
      </c>
      <c r="F11" s="7">
        <v>0.49399999999999999</v>
      </c>
      <c r="G11" s="7">
        <v>78.2</v>
      </c>
      <c r="H11" s="7">
        <v>3432</v>
      </c>
      <c r="I11" s="7">
        <v>2808</v>
      </c>
    </row>
    <row r="12" spans="1:10" ht="15.6" x14ac:dyDescent="0.3">
      <c r="A12" s="9" t="s">
        <v>165</v>
      </c>
      <c r="B12" s="7">
        <v>140</v>
      </c>
      <c r="C12" s="7">
        <v>2.2400000000000002</v>
      </c>
      <c r="D12" s="7">
        <v>1.83</v>
      </c>
      <c r="E12" s="7">
        <v>24.4</v>
      </c>
      <c r="F12" s="7">
        <v>0.70199999999999996</v>
      </c>
      <c r="G12" s="7">
        <v>111</v>
      </c>
      <c r="H12" s="7">
        <v>3571</v>
      </c>
      <c r="I12" s="7">
        <v>2921</v>
      </c>
    </row>
    <row r="13" spans="1:10" ht="15.6" x14ac:dyDescent="0.3">
      <c r="A13" s="9" t="s">
        <v>166</v>
      </c>
      <c r="B13" s="7">
        <v>12.5</v>
      </c>
      <c r="C13" s="7">
        <v>0.68500000000000005</v>
      </c>
      <c r="D13" s="7">
        <v>0.56000000000000005</v>
      </c>
      <c r="E13" s="7">
        <v>2.17</v>
      </c>
      <c r="F13" s="7">
        <v>6.2300000000000001E-2</v>
      </c>
      <c r="G13" s="7">
        <v>8.98</v>
      </c>
      <c r="H13" s="7">
        <v>399</v>
      </c>
      <c r="I13" s="7">
        <v>327</v>
      </c>
    </row>
    <row r="14" spans="1:10" ht="15.6" x14ac:dyDescent="0.3">
      <c r="A14" s="9" t="s">
        <v>167</v>
      </c>
      <c r="B14" s="7">
        <v>2.09</v>
      </c>
      <c r="C14" s="7">
        <v>0.115</v>
      </c>
      <c r="D14" s="7">
        <v>9.4100000000000003E-2</v>
      </c>
      <c r="E14" s="7">
        <v>0.35499999999999998</v>
      </c>
      <c r="F14" s="7">
        <v>1.0500000000000001E-2</v>
      </c>
      <c r="G14" s="7">
        <v>1.52</v>
      </c>
      <c r="H14" s="7">
        <v>125</v>
      </c>
      <c r="I14" s="7">
        <v>103</v>
      </c>
    </row>
    <row r="15" spans="1:10" ht="15.6" x14ac:dyDescent="0.3">
      <c r="A15" s="9" t="s">
        <v>168</v>
      </c>
      <c r="B15" s="7">
        <v>5.95</v>
      </c>
      <c r="C15" s="7">
        <v>0.72</v>
      </c>
      <c r="D15" s="7">
        <v>0.58899999999999997</v>
      </c>
      <c r="E15" s="7">
        <v>1.19</v>
      </c>
      <c r="F15" s="7">
        <v>2.98E-2</v>
      </c>
      <c r="G15" s="7">
        <v>3.42</v>
      </c>
      <c r="H15" s="7">
        <v>185</v>
      </c>
      <c r="I15" s="7">
        <v>151</v>
      </c>
    </row>
    <row r="16" spans="1:10" ht="15.6" x14ac:dyDescent="0.3">
      <c r="A16" s="9" t="s">
        <v>67</v>
      </c>
      <c r="B16" s="7">
        <v>25.1</v>
      </c>
      <c r="C16" s="7" t="s">
        <v>95</v>
      </c>
      <c r="D16" s="7" t="s">
        <v>95</v>
      </c>
      <c r="E16" s="7" t="s">
        <v>95</v>
      </c>
      <c r="F16" s="7" t="s">
        <v>95</v>
      </c>
      <c r="G16" s="7">
        <v>25.1</v>
      </c>
      <c r="H16" s="7">
        <v>363</v>
      </c>
      <c r="I16" s="7">
        <v>297</v>
      </c>
    </row>
    <row r="17" spans="1:9" ht="15.6" x14ac:dyDescent="0.3">
      <c r="A17" s="9" t="s">
        <v>84</v>
      </c>
      <c r="B17" s="7">
        <v>132</v>
      </c>
      <c r="C17" s="7">
        <v>5.56</v>
      </c>
      <c r="D17" s="7">
        <v>4.55</v>
      </c>
      <c r="E17" s="7">
        <v>22.7</v>
      </c>
      <c r="F17" s="7">
        <v>0.66200000000000003</v>
      </c>
      <c r="G17" s="7">
        <v>98.9</v>
      </c>
      <c r="H17" s="7">
        <v>845</v>
      </c>
      <c r="I17" s="7">
        <v>691</v>
      </c>
    </row>
    <row r="18" spans="1:9" ht="15.6" x14ac:dyDescent="0.3">
      <c r="A18" s="9" t="s">
        <v>68</v>
      </c>
      <c r="B18" s="7">
        <v>187</v>
      </c>
      <c r="C18" s="7" t="s">
        <v>95</v>
      </c>
      <c r="D18" s="7" t="s">
        <v>95</v>
      </c>
      <c r="E18" s="7" t="s">
        <v>95</v>
      </c>
      <c r="F18" s="7" t="s">
        <v>95</v>
      </c>
      <c r="G18" s="7" t="s">
        <v>95</v>
      </c>
      <c r="H18" s="7">
        <v>22433</v>
      </c>
      <c r="I18" s="7" t="s">
        <v>95</v>
      </c>
    </row>
    <row r="19" spans="1:9" ht="16.2" thickBot="1" x14ac:dyDescent="0.35">
      <c r="A19" s="10" t="s">
        <v>169</v>
      </c>
      <c r="B19" s="11">
        <v>153</v>
      </c>
      <c r="C19" s="11" t="s">
        <v>95</v>
      </c>
      <c r="D19" s="11" t="s">
        <v>95</v>
      </c>
      <c r="E19" s="11" t="s">
        <v>95</v>
      </c>
      <c r="F19" s="11" t="s">
        <v>95</v>
      </c>
      <c r="G19" s="11" t="s">
        <v>95</v>
      </c>
      <c r="H19" s="11" t="s">
        <v>95</v>
      </c>
      <c r="I19" s="11">
        <v>18355</v>
      </c>
    </row>
    <row r="20" spans="1:9" ht="15" thickBot="1" x14ac:dyDescent="0.35"/>
    <row r="21" spans="1:9" ht="15" thickBot="1" x14ac:dyDescent="0.35">
      <c r="B21" s="19" t="s">
        <v>146</v>
      </c>
      <c r="C21" s="19" t="s">
        <v>147</v>
      </c>
      <c r="D21" s="19" t="s">
        <v>148</v>
      </c>
      <c r="E21" s="19" t="s">
        <v>149</v>
      </c>
      <c r="F21" s="19" t="s">
        <v>150</v>
      </c>
      <c r="G21" s="19" t="s">
        <v>151</v>
      </c>
      <c r="H21" s="19" t="s">
        <v>152</v>
      </c>
      <c r="I21" s="19" t="s">
        <v>153</v>
      </c>
    </row>
    <row r="22" spans="1:9" x14ac:dyDescent="0.3">
      <c r="A22" t="str">
        <f>A3</f>
        <v>Heart</v>
      </c>
      <c r="B22">
        <f>B3/1000</f>
        <v>2.8300000000000002E-2</v>
      </c>
      <c r="C22">
        <f t="shared" ref="C22:I22" si="0">C3/1000</f>
        <v>1.09E-3</v>
      </c>
      <c r="D22">
        <f t="shared" si="0"/>
        <v>8.92E-4</v>
      </c>
      <c r="E22">
        <f t="shared" si="0"/>
        <v>4.0499999999999998E-3</v>
      </c>
      <c r="F22">
        <f t="shared" si="0"/>
        <v>1.4199999999999998E-4</v>
      </c>
      <c r="G22">
        <f t="shared" si="0"/>
        <v>2.2200000000000001E-2</v>
      </c>
      <c r="H22">
        <f t="shared" si="0"/>
        <v>0.69599999999999995</v>
      </c>
      <c r="I22">
        <f t="shared" si="0"/>
        <v>0.56999999999999995</v>
      </c>
    </row>
    <row r="23" spans="1:9" x14ac:dyDescent="0.3">
      <c r="A23" t="str">
        <f t="shared" ref="A23:A38" si="1">A4</f>
        <v>Lung</v>
      </c>
      <c r="B23">
        <f t="shared" ref="B23:I23" si="2">B4/1000</f>
        <v>3.5700000000000003E-2</v>
      </c>
      <c r="C23">
        <f t="shared" si="2"/>
        <v>1.9599999999999999E-3</v>
      </c>
      <c r="D23">
        <f t="shared" si="2"/>
        <v>1.6100000000000001E-3</v>
      </c>
      <c r="E23">
        <f t="shared" si="2"/>
        <v>1.0699999999999999E-2</v>
      </c>
      <c r="F23">
        <f t="shared" si="2"/>
        <v>1.7899999999999999E-4</v>
      </c>
      <c r="G23">
        <f t="shared" si="2"/>
        <v>2.12E-2</v>
      </c>
      <c r="H23">
        <f t="shared" si="2"/>
        <v>22.433</v>
      </c>
      <c r="I23">
        <f t="shared" si="2"/>
        <v>18.355</v>
      </c>
    </row>
    <row r="24" spans="1:9" x14ac:dyDescent="0.3">
      <c r="A24" t="str">
        <f t="shared" si="1"/>
        <v>Muscle</v>
      </c>
      <c r="B24">
        <f t="shared" ref="B24:I24" si="3">B5/1000</f>
        <v>3.2730000000000001</v>
      </c>
      <c r="C24">
        <f t="shared" si="3"/>
        <v>7.1999999999999995E-2</v>
      </c>
      <c r="D24">
        <f t="shared" si="3"/>
        <v>5.8900000000000001E-2</v>
      </c>
      <c r="E24">
        <f t="shared" si="3"/>
        <v>0.42599999999999999</v>
      </c>
      <c r="F24">
        <f t="shared" si="3"/>
        <v>1.6399999999999998E-2</v>
      </c>
      <c r="G24">
        <f t="shared" si="3"/>
        <v>2.7010000000000001</v>
      </c>
      <c r="H24">
        <f t="shared" si="3"/>
        <v>3.944</v>
      </c>
      <c r="I24">
        <f t="shared" si="3"/>
        <v>3.2269999999999999</v>
      </c>
    </row>
    <row r="25" spans="1:9" x14ac:dyDescent="0.3">
      <c r="A25" t="str">
        <f t="shared" si="1"/>
        <v>Skin</v>
      </c>
      <c r="B25">
        <f t="shared" ref="B25:I25" si="4">B6/1000</f>
        <v>0.67400000000000004</v>
      </c>
      <c r="C25">
        <f t="shared" si="4"/>
        <v>2.52E-2</v>
      </c>
      <c r="D25">
        <f t="shared" si="4"/>
        <v>2.06E-2</v>
      </c>
      <c r="E25">
        <f t="shared" si="4"/>
        <v>0.223</v>
      </c>
      <c r="F25">
        <f t="shared" si="4"/>
        <v>3.3700000000000002E-3</v>
      </c>
      <c r="G25">
        <f t="shared" si="4"/>
        <v>0.40300000000000002</v>
      </c>
      <c r="H25">
        <f t="shared" si="4"/>
        <v>2.492</v>
      </c>
      <c r="I25">
        <f t="shared" si="4"/>
        <v>2.0390000000000001</v>
      </c>
    </row>
    <row r="26" spans="1:9" x14ac:dyDescent="0.3">
      <c r="A26" t="str">
        <f t="shared" si="1"/>
        <v>Adipose</v>
      </c>
      <c r="B26">
        <f t="shared" ref="B26:I26" si="5">B7/1000</f>
        <v>0.154</v>
      </c>
      <c r="C26">
        <f t="shared" si="5"/>
        <v>1.6999999999999999E-3</v>
      </c>
      <c r="D26">
        <f t="shared" si="5"/>
        <v>1.39E-3</v>
      </c>
      <c r="E26">
        <f t="shared" si="5"/>
        <v>2.63E-2</v>
      </c>
      <c r="F26">
        <f t="shared" si="5"/>
        <v>7.7200000000000001E-4</v>
      </c>
      <c r="G26">
        <f t="shared" si="5"/>
        <v>0.124</v>
      </c>
      <c r="H26">
        <f t="shared" si="5"/>
        <v>0.13900000000000001</v>
      </c>
      <c r="I26">
        <f t="shared" si="5"/>
        <v>0.113</v>
      </c>
    </row>
    <row r="27" spans="1:9" x14ac:dyDescent="0.3">
      <c r="A27" t="str">
        <f t="shared" si="1"/>
        <v>Bone</v>
      </c>
      <c r="B27">
        <f t="shared" ref="B27:I27" si="6">B8/1000</f>
        <v>0.95199999999999996</v>
      </c>
      <c r="C27">
        <f t="shared" si="6"/>
        <v>2.0899999999999998E-2</v>
      </c>
      <c r="D27">
        <f t="shared" si="6"/>
        <v>1.7100000000000001E-2</v>
      </c>
      <c r="E27">
        <f t="shared" si="6"/>
        <v>0.17699999999999999</v>
      </c>
      <c r="F27">
        <f t="shared" si="6"/>
        <v>4.7599999999999995E-3</v>
      </c>
      <c r="G27">
        <f t="shared" si="6"/>
        <v>0.73199999999999998</v>
      </c>
      <c r="H27">
        <f t="shared" si="6"/>
        <v>0.248</v>
      </c>
      <c r="I27">
        <f t="shared" si="6"/>
        <v>0.20300000000000001</v>
      </c>
    </row>
    <row r="28" spans="1:9" x14ac:dyDescent="0.3">
      <c r="A28" t="str">
        <f t="shared" si="1"/>
        <v>Kidney</v>
      </c>
      <c r="B28">
        <f t="shared" ref="B28:I28" si="7">B9/1000</f>
        <v>2.7300000000000001E-2</v>
      </c>
      <c r="C28">
        <f t="shared" si="7"/>
        <v>1.5E-3</v>
      </c>
      <c r="D28">
        <f t="shared" si="7"/>
        <v>1.23E-3</v>
      </c>
      <c r="E28">
        <f t="shared" si="7"/>
        <v>4.0899999999999999E-3</v>
      </c>
      <c r="F28">
        <f t="shared" si="7"/>
        <v>1.36E-4</v>
      </c>
      <c r="G28">
        <f t="shared" si="7"/>
        <v>2.0300000000000002E-2</v>
      </c>
      <c r="H28">
        <f t="shared" si="7"/>
        <v>3.2370000000000001</v>
      </c>
      <c r="I28">
        <f t="shared" si="7"/>
        <v>2.649</v>
      </c>
    </row>
    <row r="29" spans="1:9" x14ac:dyDescent="0.3">
      <c r="A29" t="str">
        <f t="shared" si="1"/>
        <v>Liver</v>
      </c>
      <c r="B29">
        <f t="shared" ref="B29:I29" si="8">B10/1000</f>
        <v>0.187</v>
      </c>
      <c r="C29">
        <f t="shared" si="8"/>
        <v>1.5900000000000001E-2</v>
      </c>
      <c r="D29">
        <f t="shared" si="8"/>
        <v>1.2999999999999999E-2</v>
      </c>
      <c r="E29">
        <f t="shared" si="8"/>
        <v>3.7399999999999996E-2</v>
      </c>
      <c r="F29">
        <f t="shared" si="8"/>
        <v>9.3400000000000004E-4</v>
      </c>
      <c r="G29">
        <f t="shared" si="8"/>
        <v>0.12</v>
      </c>
      <c r="H29">
        <f t="shared" si="8"/>
        <v>1.2509999999999999</v>
      </c>
      <c r="I29">
        <f t="shared" si="8"/>
        <v>1.0229999999999999</v>
      </c>
    </row>
    <row r="30" spans="1:9" x14ac:dyDescent="0.3">
      <c r="A30" t="str">
        <f t="shared" si="1"/>
        <v>S. Intestine</v>
      </c>
      <c r="B30">
        <f t="shared" ref="B30:I30" si="9">B11/1000</f>
        <v>9.8699999999999996E-2</v>
      </c>
      <c r="C30">
        <f t="shared" si="9"/>
        <v>1.57E-3</v>
      </c>
      <c r="D30">
        <f t="shared" si="9"/>
        <v>1.2900000000000001E-3</v>
      </c>
      <c r="E30">
        <f t="shared" si="9"/>
        <v>1.72E-2</v>
      </c>
      <c r="F30">
        <f t="shared" si="9"/>
        <v>4.9399999999999997E-4</v>
      </c>
      <c r="G30">
        <f t="shared" si="9"/>
        <v>7.8200000000000006E-2</v>
      </c>
      <c r="H30">
        <f t="shared" si="9"/>
        <v>3.4319999999999999</v>
      </c>
      <c r="I30">
        <f t="shared" si="9"/>
        <v>2.8079999999999998</v>
      </c>
    </row>
    <row r="31" spans="1:9" x14ac:dyDescent="0.3">
      <c r="A31" t="str">
        <f t="shared" si="1"/>
        <v>L. Intestine</v>
      </c>
      <c r="B31">
        <f t="shared" ref="B31:I31" si="10">B12/1000</f>
        <v>0.14000000000000001</v>
      </c>
      <c r="C31">
        <f t="shared" si="10"/>
        <v>2.2400000000000002E-3</v>
      </c>
      <c r="D31">
        <f t="shared" si="10"/>
        <v>1.83E-3</v>
      </c>
      <c r="E31">
        <f t="shared" si="10"/>
        <v>2.4399999999999998E-2</v>
      </c>
      <c r="F31">
        <f t="shared" si="10"/>
        <v>7.0199999999999993E-4</v>
      </c>
      <c r="G31">
        <f t="shared" si="10"/>
        <v>0.111</v>
      </c>
      <c r="H31">
        <f t="shared" si="10"/>
        <v>3.5710000000000002</v>
      </c>
      <c r="I31">
        <f t="shared" si="10"/>
        <v>2.9209999999999998</v>
      </c>
    </row>
    <row r="32" spans="1:9" x14ac:dyDescent="0.3">
      <c r="A32" t="str">
        <f t="shared" si="1"/>
        <v>Pancreas</v>
      </c>
      <c r="B32">
        <f t="shared" ref="B32:I32" si="11">B13/1000</f>
        <v>1.2500000000000001E-2</v>
      </c>
      <c r="C32">
        <f t="shared" si="11"/>
        <v>6.8500000000000006E-4</v>
      </c>
      <c r="D32">
        <f t="shared" si="11"/>
        <v>5.6000000000000006E-4</v>
      </c>
      <c r="E32">
        <f t="shared" si="11"/>
        <v>2.1700000000000001E-3</v>
      </c>
      <c r="F32">
        <f t="shared" si="11"/>
        <v>6.2299999999999996E-5</v>
      </c>
      <c r="G32">
        <f t="shared" si="11"/>
        <v>8.9800000000000001E-3</v>
      </c>
      <c r="H32">
        <f t="shared" si="11"/>
        <v>0.39900000000000002</v>
      </c>
      <c r="I32">
        <f t="shared" si="11"/>
        <v>0.32700000000000001</v>
      </c>
    </row>
    <row r="33" spans="1:9" x14ac:dyDescent="0.3">
      <c r="A33" t="str">
        <f t="shared" si="1"/>
        <v>Thymus</v>
      </c>
      <c r="B33">
        <f t="shared" ref="B33:I33" si="12">B14/1000</f>
        <v>2.0899999999999998E-3</v>
      </c>
      <c r="C33">
        <f t="shared" si="12"/>
        <v>1.15E-4</v>
      </c>
      <c r="D33">
        <f t="shared" si="12"/>
        <v>9.4099999999999997E-5</v>
      </c>
      <c r="E33">
        <f t="shared" si="12"/>
        <v>3.5499999999999996E-4</v>
      </c>
      <c r="F33">
        <f t="shared" si="12"/>
        <v>1.0500000000000001E-5</v>
      </c>
      <c r="G33">
        <f t="shared" si="12"/>
        <v>1.5200000000000001E-3</v>
      </c>
      <c r="H33">
        <f t="shared" si="12"/>
        <v>0.125</v>
      </c>
      <c r="I33">
        <f t="shared" si="12"/>
        <v>0.10299999999999999</v>
      </c>
    </row>
    <row r="34" spans="1:9" x14ac:dyDescent="0.3">
      <c r="A34" t="str">
        <f t="shared" si="1"/>
        <v>Spleen</v>
      </c>
      <c r="B34">
        <f t="shared" ref="B34:I34" si="13">B15/1000</f>
        <v>5.9500000000000004E-3</v>
      </c>
      <c r="C34">
        <f t="shared" si="13"/>
        <v>7.1999999999999994E-4</v>
      </c>
      <c r="D34">
        <f t="shared" si="13"/>
        <v>5.8900000000000001E-4</v>
      </c>
      <c r="E34">
        <f t="shared" si="13"/>
        <v>1.1899999999999999E-3</v>
      </c>
      <c r="F34">
        <f t="shared" si="13"/>
        <v>2.9799999999999999E-5</v>
      </c>
      <c r="G34">
        <f t="shared" si="13"/>
        <v>3.4199999999999999E-3</v>
      </c>
      <c r="H34">
        <f t="shared" si="13"/>
        <v>0.185</v>
      </c>
      <c r="I34">
        <f t="shared" si="13"/>
        <v>0.151</v>
      </c>
    </row>
    <row r="35" spans="1:9" x14ac:dyDescent="0.3">
      <c r="A35" t="str">
        <f t="shared" si="1"/>
        <v>Ly. Node</v>
      </c>
      <c r="B35">
        <f t="shared" ref="B35:I35" si="14">B16/1000</f>
        <v>2.5100000000000001E-2</v>
      </c>
      <c r="C35" t="e">
        <f t="shared" si="14"/>
        <v>#VALUE!</v>
      </c>
      <c r="D35" t="e">
        <f t="shared" si="14"/>
        <v>#VALUE!</v>
      </c>
      <c r="E35" t="e">
        <f t="shared" si="14"/>
        <v>#VALUE!</v>
      </c>
      <c r="F35" t="e">
        <f t="shared" si="14"/>
        <v>#VALUE!</v>
      </c>
      <c r="G35">
        <f t="shared" si="14"/>
        <v>2.5100000000000001E-2</v>
      </c>
      <c r="H35">
        <f t="shared" si="14"/>
        <v>0.36299999999999999</v>
      </c>
      <c r="I35">
        <f t="shared" si="14"/>
        <v>0.29699999999999999</v>
      </c>
    </row>
    <row r="36" spans="1:9" x14ac:dyDescent="0.3">
      <c r="A36" t="str">
        <f t="shared" si="1"/>
        <v>Other</v>
      </c>
      <c r="B36">
        <f t="shared" ref="B36:I36" si="15">B17/1000</f>
        <v>0.13200000000000001</v>
      </c>
      <c r="C36">
        <f t="shared" si="15"/>
        <v>5.5599999999999998E-3</v>
      </c>
      <c r="D36">
        <f t="shared" si="15"/>
        <v>4.5500000000000002E-3</v>
      </c>
      <c r="E36">
        <f t="shared" si="15"/>
        <v>2.2699999999999998E-2</v>
      </c>
      <c r="F36">
        <f t="shared" si="15"/>
        <v>6.6200000000000005E-4</v>
      </c>
      <c r="G36">
        <f t="shared" si="15"/>
        <v>9.8900000000000002E-2</v>
      </c>
      <c r="H36">
        <f t="shared" si="15"/>
        <v>0.84499999999999997</v>
      </c>
      <c r="I36">
        <f t="shared" si="15"/>
        <v>0.69099999999999995</v>
      </c>
    </row>
    <row r="37" spans="1:9" x14ac:dyDescent="0.3">
      <c r="A37" t="str">
        <f t="shared" si="1"/>
        <v>Plasma</v>
      </c>
      <c r="B37">
        <f t="shared" ref="B37:I37" si="16">B18/1000</f>
        <v>0.187</v>
      </c>
      <c r="C37" t="e">
        <f t="shared" si="16"/>
        <v>#VALUE!</v>
      </c>
      <c r="D37" t="e">
        <f t="shared" si="16"/>
        <v>#VALUE!</v>
      </c>
      <c r="E37" t="e">
        <f t="shared" si="16"/>
        <v>#VALUE!</v>
      </c>
      <c r="F37" t="e">
        <f t="shared" si="16"/>
        <v>#VALUE!</v>
      </c>
      <c r="G37" t="e">
        <f t="shared" si="16"/>
        <v>#VALUE!</v>
      </c>
      <c r="H37">
        <f t="shared" si="16"/>
        <v>22.433</v>
      </c>
      <c r="I37" t="e">
        <f t="shared" si="16"/>
        <v>#VALUE!</v>
      </c>
    </row>
    <row r="38" spans="1:9" x14ac:dyDescent="0.3">
      <c r="A38" t="str">
        <f t="shared" si="1"/>
        <v>Blood Cells</v>
      </c>
      <c r="B38">
        <f t="shared" ref="B38:I38" si="17">B19/1000</f>
        <v>0.153</v>
      </c>
      <c r="C38" t="e">
        <f t="shared" si="17"/>
        <v>#VALUE!</v>
      </c>
      <c r="D38" t="e">
        <f t="shared" si="17"/>
        <v>#VALUE!</v>
      </c>
      <c r="E38" t="e">
        <f t="shared" si="17"/>
        <v>#VALUE!</v>
      </c>
      <c r="F38" t="e">
        <f t="shared" si="17"/>
        <v>#VALUE!</v>
      </c>
      <c r="G38" t="e">
        <f t="shared" si="17"/>
        <v>#VALUE!</v>
      </c>
      <c r="H38" t="e">
        <f t="shared" si="17"/>
        <v>#VALUE!</v>
      </c>
      <c r="I38">
        <f t="shared" si="17"/>
        <v>18.355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15DAE-6B28-490C-B6EC-18463F8D3C75}">
  <dimension ref="B1:S39"/>
  <sheetViews>
    <sheetView workbookViewId="0">
      <selection sqref="A1:XFD1048576"/>
    </sheetView>
  </sheetViews>
  <sheetFormatPr defaultRowHeight="14.4" x14ac:dyDescent="0.3"/>
  <cols>
    <col min="2" max="2" width="12.88671875" bestFit="1" customWidth="1"/>
    <col min="3" max="3" width="10.21875" bestFit="1" customWidth="1"/>
    <col min="4" max="4" width="11.88671875" bestFit="1" customWidth="1"/>
    <col min="5" max="5" width="14.109375" bestFit="1" customWidth="1"/>
    <col min="6" max="6" width="13.5546875" bestFit="1" customWidth="1"/>
    <col min="7" max="7" width="16.5546875" bestFit="1" customWidth="1"/>
    <col min="8" max="8" width="13.21875" bestFit="1" customWidth="1"/>
    <col min="9" max="9" width="14.21875" bestFit="1" customWidth="1"/>
    <col min="10" max="10" width="17.44140625" bestFit="1" customWidth="1"/>
  </cols>
  <sheetData>
    <row r="1" spans="2:19" ht="15" thickBot="1" x14ac:dyDescent="0.35"/>
    <row r="2" spans="2:19" ht="16.2" thickBot="1" x14ac:dyDescent="0.35">
      <c r="B2" s="4"/>
      <c r="C2" s="19" t="s">
        <v>146</v>
      </c>
      <c r="D2" s="20" t="s">
        <v>147</v>
      </c>
      <c r="E2" s="20" t="s">
        <v>148</v>
      </c>
      <c r="F2" s="19" t="s">
        <v>149</v>
      </c>
      <c r="G2" s="18" t="s">
        <v>150</v>
      </c>
      <c r="H2" s="18" t="s">
        <v>151</v>
      </c>
      <c r="I2" s="17" t="s">
        <v>152</v>
      </c>
      <c r="J2" s="17" t="s">
        <v>153</v>
      </c>
      <c r="L2" s="5"/>
      <c r="N2" s="5"/>
      <c r="P2" s="5"/>
      <c r="R2" s="5"/>
    </row>
    <row r="3" spans="2:19" ht="16.2" thickTop="1" x14ac:dyDescent="0.3">
      <c r="B3" s="13" t="s">
        <v>160</v>
      </c>
      <c r="C3" s="12">
        <v>33.1</v>
      </c>
      <c r="D3" s="12">
        <v>0.36399999999999999</v>
      </c>
      <c r="E3" s="12">
        <v>0.29799999999999999</v>
      </c>
      <c r="F3" s="12">
        <v>5.63</v>
      </c>
      <c r="G3" s="12">
        <v>0.16600000000000001</v>
      </c>
      <c r="H3" s="12">
        <v>26.7</v>
      </c>
      <c r="I3" s="12">
        <v>224</v>
      </c>
      <c r="J3" s="7">
        <v>184</v>
      </c>
      <c r="K3" s="12"/>
      <c r="M3" s="12"/>
      <c r="O3" s="12"/>
      <c r="Q3" s="12"/>
    </row>
    <row r="4" spans="2:19" ht="15.6" x14ac:dyDescent="0.3">
      <c r="B4" s="9" t="s">
        <v>161</v>
      </c>
      <c r="C4" s="7">
        <v>21</v>
      </c>
      <c r="D4" s="7">
        <v>0.46200000000000002</v>
      </c>
      <c r="E4" s="7">
        <v>0.378</v>
      </c>
      <c r="F4" s="7">
        <v>3.9</v>
      </c>
      <c r="G4" s="7">
        <v>0.105</v>
      </c>
      <c r="H4" s="7">
        <v>16.100000000000001</v>
      </c>
      <c r="I4" s="7">
        <v>61.4</v>
      </c>
      <c r="J4" s="7">
        <v>50.2</v>
      </c>
      <c r="K4" s="7"/>
      <c r="M4" s="7"/>
      <c r="O4" s="7"/>
      <c r="Q4" s="7"/>
      <c r="S4" s="7"/>
    </row>
    <row r="5" spans="2:19" ht="15.6" x14ac:dyDescent="0.3">
      <c r="B5" s="14" t="s">
        <v>156</v>
      </c>
      <c r="C5" s="15">
        <v>1.02</v>
      </c>
      <c r="D5" s="15">
        <v>3.9399999999999998E-2</v>
      </c>
      <c r="E5" s="15">
        <v>3.2300000000000002E-2</v>
      </c>
      <c r="F5" s="15">
        <v>0.14599999999999999</v>
      </c>
      <c r="G5" s="15">
        <v>5.1200000000000004E-3</v>
      </c>
      <c r="H5" s="15">
        <v>0.80100000000000005</v>
      </c>
      <c r="I5" s="15">
        <v>151</v>
      </c>
      <c r="J5" s="7">
        <v>124</v>
      </c>
      <c r="K5" s="15"/>
      <c r="M5" s="15"/>
      <c r="O5" s="15"/>
      <c r="Q5" s="15"/>
      <c r="S5" s="7"/>
    </row>
    <row r="6" spans="2:19" ht="15.6" x14ac:dyDescent="0.3">
      <c r="B6" s="9" t="s">
        <v>162</v>
      </c>
      <c r="C6" s="7">
        <v>2.41</v>
      </c>
      <c r="D6" s="7">
        <v>0.13200000000000001</v>
      </c>
      <c r="E6" s="7">
        <v>0.108</v>
      </c>
      <c r="F6" s="7">
        <v>0.36099999999999999</v>
      </c>
      <c r="G6" s="7">
        <v>1.2E-2</v>
      </c>
      <c r="H6" s="7">
        <v>1.79</v>
      </c>
      <c r="I6" s="7">
        <v>365</v>
      </c>
      <c r="J6" s="7">
        <v>298</v>
      </c>
      <c r="K6" s="7"/>
      <c r="M6" s="7"/>
      <c r="O6" s="7"/>
      <c r="Q6" s="7"/>
      <c r="S6" s="7"/>
    </row>
    <row r="7" spans="2:19" ht="15.6" x14ac:dyDescent="0.3">
      <c r="B7" s="9" t="s">
        <v>171</v>
      </c>
      <c r="C7" s="7">
        <v>2.87</v>
      </c>
      <c r="D7" s="7">
        <v>4.58E-2</v>
      </c>
      <c r="E7" s="7">
        <v>3.7499999999999999E-2</v>
      </c>
      <c r="F7" s="7">
        <v>0.5</v>
      </c>
      <c r="G7" s="7">
        <v>1.44E-2</v>
      </c>
      <c r="H7" s="7">
        <v>2.2799999999999998</v>
      </c>
      <c r="I7" s="7">
        <v>158</v>
      </c>
      <c r="J7" s="7">
        <v>130</v>
      </c>
      <c r="K7" s="7"/>
      <c r="M7" s="7"/>
      <c r="O7" s="7"/>
      <c r="Q7" s="7"/>
      <c r="S7" s="7"/>
    </row>
    <row r="8" spans="2:19" ht="15.6" x14ac:dyDescent="0.3">
      <c r="B8" s="9" t="s">
        <v>163</v>
      </c>
      <c r="C8" s="7">
        <v>15.7</v>
      </c>
      <c r="D8" s="7">
        <v>1.34</v>
      </c>
      <c r="E8" s="7">
        <v>1.1000000000000001</v>
      </c>
      <c r="F8" s="7">
        <v>2.56</v>
      </c>
      <c r="G8" s="7">
        <v>7.8700000000000006E-2</v>
      </c>
      <c r="H8" s="7">
        <v>10.7</v>
      </c>
      <c r="I8" s="7">
        <v>21.1</v>
      </c>
      <c r="J8" s="7">
        <v>17.3</v>
      </c>
      <c r="K8" s="7"/>
      <c r="M8" s="7"/>
      <c r="O8" s="7"/>
      <c r="Q8" s="7"/>
      <c r="S8" s="7"/>
    </row>
    <row r="9" spans="2:19" ht="15.6" x14ac:dyDescent="0.3">
      <c r="B9" s="9" t="s">
        <v>157</v>
      </c>
      <c r="C9" s="7">
        <v>1.4</v>
      </c>
      <c r="D9" s="7">
        <v>0.23100000000000001</v>
      </c>
      <c r="E9" s="7">
        <v>0.189</v>
      </c>
      <c r="F9" s="7">
        <v>0.26300000000000001</v>
      </c>
      <c r="G9" s="7">
        <v>7.0000000000000001E-3</v>
      </c>
      <c r="H9" s="7">
        <v>0.71</v>
      </c>
      <c r="I9" s="7">
        <v>2945</v>
      </c>
      <c r="J9" s="7">
        <v>2409</v>
      </c>
      <c r="K9" s="7"/>
      <c r="M9" s="7"/>
      <c r="O9" s="7"/>
      <c r="Q9" s="7"/>
      <c r="S9" s="7"/>
    </row>
    <row r="10" spans="2:19" ht="15.6" x14ac:dyDescent="0.3">
      <c r="B10" s="9" t="s">
        <v>158</v>
      </c>
      <c r="C10" s="7">
        <v>122</v>
      </c>
      <c r="D10" s="7">
        <v>2.68</v>
      </c>
      <c r="E10" s="7">
        <v>2.19</v>
      </c>
      <c r="F10" s="7">
        <v>15.8</v>
      </c>
      <c r="G10" s="7">
        <v>0.60799999999999998</v>
      </c>
      <c r="H10" s="7">
        <v>100</v>
      </c>
      <c r="I10" s="7">
        <v>925</v>
      </c>
      <c r="J10" s="7">
        <v>757</v>
      </c>
      <c r="K10" s="7"/>
      <c r="M10" s="7"/>
      <c r="O10" s="7"/>
      <c r="Q10" s="7"/>
    </row>
    <row r="11" spans="2:19" ht="15.6" x14ac:dyDescent="0.3">
      <c r="B11" s="9" t="s">
        <v>84</v>
      </c>
      <c r="C11" s="7">
        <v>6.09</v>
      </c>
      <c r="D11" s="7">
        <v>0.25600000000000001</v>
      </c>
      <c r="E11" s="7">
        <v>0.20899999999999999</v>
      </c>
      <c r="F11" s="7">
        <v>1.04</v>
      </c>
      <c r="G11" s="7">
        <v>3.0499999999999999E-2</v>
      </c>
      <c r="H11" s="7">
        <v>4.55</v>
      </c>
      <c r="I11" s="7">
        <v>105</v>
      </c>
      <c r="J11" s="7">
        <v>85.6</v>
      </c>
      <c r="K11" s="7"/>
      <c r="M11" s="7"/>
      <c r="O11" s="7"/>
      <c r="Q11" s="7"/>
    </row>
    <row r="12" spans="2:19" ht="15.6" x14ac:dyDescent="0.3">
      <c r="B12" s="9" t="s">
        <v>166</v>
      </c>
      <c r="C12" s="7">
        <v>1</v>
      </c>
      <c r="D12" s="7">
        <v>5.4699999999999999E-2</v>
      </c>
      <c r="E12" s="7">
        <v>4.48E-2</v>
      </c>
      <c r="F12" s="7">
        <v>0.17299999999999999</v>
      </c>
      <c r="G12" s="7">
        <v>4.9800000000000001E-3</v>
      </c>
      <c r="H12" s="7">
        <v>0.71699999999999997</v>
      </c>
      <c r="I12" s="7">
        <v>63.4</v>
      </c>
      <c r="J12" s="7">
        <v>51.8</v>
      </c>
      <c r="K12" s="7"/>
      <c r="M12" s="7"/>
      <c r="O12" s="7"/>
      <c r="Q12" s="7"/>
    </row>
    <row r="13" spans="2:19" ht="15.6" x14ac:dyDescent="0.3">
      <c r="B13" s="9" t="s">
        <v>170</v>
      </c>
      <c r="C13" s="7">
        <v>4.99</v>
      </c>
      <c r="D13" s="7">
        <v>7.9500000000000001E-2</v>
      </c>
      <c r="E13" s="7">
        <v>6.5100000000000005E-2</v>
      </c>
      <c r="F13" s="7">
        <v>0.86699999999999999</v>
      </c>
      <c r="G13" s="7">
        <v>2.4899999999999999E-2</v>
      </c>
      <c r="H13" s="7">
        <v>3.95</v>
      </c>
      <c r="I13" s="7">
        <v>398</v>
      </c>
      <c r="J13" s="7">
        <v>325</v>
      </c>
      <c r="K13" s="7"/>
      <c r="M13" s="7"/>
      <c r="O13" s="7"/>
      <c r="Q13" s="7"/>
    </row>
    <row r="14" spans="2:19" ht="15.6" x14ac:dyDescent="0.3">
      <c r="B14" s="9" t="s">
        <v>159</v>
      </c>
      <c r="C14" s="7">
        <v>49.9</v>
      </c>
      <c r="D14" s="7">
        <v>1.87</v>
      </c>
      <c r="E14" s="7">
        <v>1.53</v>
      </c>
      <c r="F14" s="7">
        <v>16.5</v>
      </c>
      <c r="G14" s="7">
        <v>0.249</v>
      </c>
      <c r="H14" s="7">
        <v>29.8</v>
      </c>
      <c r="I14" s="7">
        <v>200</v>
      </c>
      <c r="J14" s="7">
        <v>163</v>
      </c>
      <c r="K14" s="7"/>
      <c r="M14" s="7"/>
      <c r="O14" s="7"/>
      <c r="Q14" s="7"/>
    </row>
    <row r="15" spans="2:19" ht="15.6" x14ac:dyDescent="0.3">
      <c r="B15" s="9" t="s">
        <v>168</v>
      </c>
      <c r="C15" s="7">
        <v>2.77</v>
      </c>
      <c r="D15" s="7">
        <v>0.33500000000000002</v>
      </c>
      <c r="E15" s="7">
        <v>0.27400000000000002</v>
      </c>
      <c r="F15" s="7">
        <v>0.55400000000000005</v>
      </c>
      <c r="G15" s="7">
        <v>1.38E-2</v>
      </c>
      <c r="H15" s="7">
        <v>1.59</v>
      </c>
      <c r="I15" s="7">
        <v>179</v>
      </c>
      <c r="J15" s="7">
        <v>146</v>
      </c>
      <c r="K15" s="7"/>
      <c r="M15" s="7"/>
      <c r="O15" s="7"/>
      <c r="Q15" s="7"/>
    </row>
    <row r="16" spans="2:19" ht="15.6" x14ac:dyDescent="0.3">
      <c r="B16" s="9" t="s">
        <v>167</v>
      </c>
      <c r="C16" s="7">
        <v>9.6000000000000002E-2</v>
      </c>
      <c r="D16" s="7">
        <v>5.28E-3</v>
      </c>
      <c r="E16" s="7">
        <v>4.3200000000000001E-3</v>
      </c>
      <c r="F16" s="7">
        <v>1.6299999999999999E-2</v>
      </c>
      <c r="G16" s="7">
        <v>4.8000000000000001E-4</v>
      </c>
      <c r="H16" s="7">
        <v>6.9599999999999995E-2</v>
      </c>
      <c r="I16" s="7">
        <v>12.2</v>
      </c>
      <c r="J16" s="7">
        <v>10</v>
      </c>
      <c r="K16" s="7"/>
      <c r="M16" s="7"/>
      <c r="O16" s="7"/>
      <c r="Q16" s="7"/>
    </row>
    <row r="17" spans="2:17" ht="15.6" x14ac:dyDescent="0.3">
      <c r="B17" s="9" t="s">
        <v>67</v>
      </c>
      <c r="C17" s="7">
        <v>1.1499999999999999</v>
      </c>
      <c r="D17" s="7" t="s">
        <v>95</v>
      </c>
      <c r="E17" s="7" t="s">
        <v>95</v>
      </c>
      <c r="F17" s="7" t="s">
        <v>95</v>
      </c>
      <c r="G17" s="7" t="s">
        <v>95</v>
      </c>
      <c r="H17" s="7">
        <v>1.1499999999999999</v>
      </c>
      <c r="I17" s="7">
        <v>16.8</v>
      </c>
      <c r="J17" s="7">
        <v>13.8</v>
      </c>
      <c r="K17" s="7"/>
      <c r="M17" s="7"/>
      <c r="O17" s="7"/>
      <c r="Q17" s="7"/>
    </row>
    <row r="18" spans="2:17" ht="15.6" x14ac:dyDescent="0.3">
      <c r="B18" s="9" t="s">
        <v>68</v>
      </c>
      <c r="C18" s="7">
        <v>9.06</v>
      </c>
      <c r="D18" s="7" t="s">
        <v>95</v>
      </c>
      <c r="E18" s="7" t="s">
        <v>95</v>
      </c>
      <c r="F18" s="7" t="s">
        <v>95</v>
      </c>
      <c r="G18" s="7" t="s">
        <v>95</v>
      </c>
      <c r="H18" s="7" t="s">
        <v>95</v>
      </c>
      <c r="I18" s="7">
        <v>2945</v>
      </c>
      <c r="J18" s="7" t="s">
        <v>95</v>
      </c>
      <c r="K18" s="7"/>
      <c r="M18" s="7"/>
      <c r="O18" s="7"/>
      <c r="Q18" s="7"/>
    </row>
    <row r="19" spans="2:17" ht="16.2" thickBot="1" x14ac:dyDescent="0.35">
      <c r="B19" s="10" t="s">
        <v>169</v>
      </c>
      <c r="C19" s="11">
        <v>7.41</v>
      </c>
      <c r="D19" s="11" t="s">
        <v>95</v>
      </c>
      <c r="E19" s="11" t="s">
        <v>95</v>
      </c>
      <c r="F19" s="11" t="s">
        <v>95</v>
      </c>
      <c r="G19" s="11" t="s">
        <v>95</v>
      </c>
      <c r="H19" s="11" t="s">
        <v>95</v>
      </c>
      <c r="I19" s="11" t="s">
        <v>95</v>
      </c>
      <c r="J19" s="11">
        <v>2409</v>
      </c>
      <c r="K19" s="11"/>
      <c r="M19" s="11"/>
      <c r="O19" s="11"/>
      <c r="Q19" s="11"/>
    </row>
    <row r="21" spans="2:17" ht="16.2" thickBot="1" x14ac:dyDescent="0.35">
      <c r="B21" s="21" t="s">
        <v>172</v>
      </c>
    </row>
    <row r="22" spans="2:17" ht="15.6" thickBot="1" x14ac:dyDescent="0.35">
      <c r="C22" s="19" t="s">
        <v>146</v>
      </c>
      <c r="D22" s="20" t="s">
        <v>147</v>
      </c>
      <c r="E22" s="20" t="s">
        <v>148</v>
      </c>
      <c r="F22" s="19" t="s">
        <v>149</v>
      </c>
      <c r="G22" s="18" t="s">
        <v>150</v>
      </c>
      <c r="H22" s="18" t="s">
        <v>151</v>
      </c>
      <c r="I22" s="17" t="s">
        <v>152</v>
      </c>
      <c r="J22" s="17" t="s">
        <v>153</v>
      </c>
    </row>
    <row r="23" spans="2:17" x14ac:dyDescent="0.3">
      <c r="B23" t="str">
        <f>B3</f>
        <v>Adipose</v>
      </c>
      <c r="C23">
        <f>C3/1000</f>
        <v>3.3100000000000004E-2</v>
      </c>
      <c r="D23">
        <f>D3/1000</f>
        <v>3.6400000000000001E-4</v>
      </c>
      <c r="E23">
        <f>E3/1000</f>
        <v>2.9799999999999998E-4</v>
      </c>
      <c r="F23">
        <f>F3/1000</f>
        <v>5.6299999999999996E-3</v>
      </c>
      <c r="G23">
        <f>G3/1000</f>
        <v>1.66E-4</v>
      </c>
      <c r="H23">
        <f>H3/1000</f>
        <v>2.6699999999999998E-2</v>
      </c>
      <c r="I23">
        <f>I3/1000</f>
        <v>0.224</v>
      </c>
      <c r="J23">
        <f>J3/1000</f>
        <v>0.184</v>
      </c>
    </row>
    <row r="24" spans="2:17" x14ac:dyDescent="0.3">
      <c r="B24" t="str">
        <f>B4</f>
        <v>Bone</v>
      </c>
      <c r="C24">
        <f>C4/1000</f>
        <v>2.1000000000000001E-2</v>
      </c>
      <c r="D24">
        <f>D4/1000</f>
        <v>4.6200000000000001E-4</v>
      </c>
      <c r="E24">
        <f>E4/1000</f>
        <v>3.7800000000000003E-4</v>
      </c>
      <c r="F24">
        <f>F4/1000</f>
        <v>3.8999999999999998E-3</v>
      </c>
      <c r="G24">
        <f>G4/1000</f>
        <v>1.0499999999999999E-4</v>
      </c>
      <c r="H24">
        <f>H4/1000</f>
        <v>1.61E-2</v>
      </c>
      <c r="I24">
        <f>I4/1000</f>
        <v>6.1399999999999996E-2</v>
      </c>
      <c r="J24">
        <f>J4/1000</f>
        <v>5.0200000000000002E-2</v>
      </c>
    </row>
    <row r="25" spans="2:17" x14ac:dyDescent="0.3">
      <c r="B25" t="str">
        <f>B5</f>
        <v>Heart</v>
      </c>
      <c r="C25">
        <f>C5/1000</f>
        <v>1.0200000000000001E-3</v>
      </c>
      <c r="D25">
        <f>D5/1000</f>
        <v>3.9399999999999995E-5</v>
      </c>
      <c r="E25">
        <f>E5/1000</f>
        <v>3.2299999999999999E-5</v>
      </c>
      <c r="F25">
        <f>F5/1000</f>
        <v>1.46E-4</v>
      </c>
      <c r="G25">
        <f>G5/1000</f>
        <v>5.1200000000000001E-6</v>
      </c>
      <c r="H25">
        <f>H5/1000</f>
        <v>8.0100000000000006E-4</v>
      </c>
      <c r="I25">
        <f>I5/1000</f>
        <v>0.151</v>
      </c>
      <c r="J25">
        <f>J5/1000</f>
        <v>0.124</v>
      </c>
    </row>
    <row r="26" spans="2:17" x14ac:dyDescent="0.3">
      <c r="B26" t="str">
        <f>B6</f>
        <v>Kidney</v>
      </c>
      <c r="C26">
        <f>C6/1000</f>
        <v>2.4100000000000002E-3</v>
      </c>
      <c r="D26">
        <f>D6/1000</f>
        <v>1.3200000000000001E-4</v>
      </c>
      <c r="E26">
        <f>E6/1000</f>
        <v>1.08E-4</v>
      </c>
      <c r="F26">
        <f>F6/1000</f>
        <v>3.6099999999999999E-4</v>
      </c>
      <c r="G26">
        <f>G6/1000</f>
        <v>1.2E-5</v>
      </c>
      <c r="H26">
        <f>H6/1000</f>
        <v>1.7900000000000001E-3</v>
      </c>
      <c r="I26">
        <f>I6/1000</f>
        <v>0.36499999999999999</v>
      </c>
      <c r="J26">
        <f>J6/1000</f>
        <v>0.29799999999999999</v>
      </c>
    </row>
    <row r="27" spans="2:17" x14ac:dyDescent="0.3">
      <c r="B27" t="str">
        <f>B7</f>
        <v>LI</v>
      </c>
      <c r="C27">
        <f>C7/1000</f>
        <v>2.8700000000000002E-3</v>
      </c>
      <c r="D27">
        <f>D7/1000</f>
        <v>4.5800000000000002E-5</v>
      </c>
      <c r="E27">
        <f>E7/1000</f>
        <v>3.7499999999999997E-5</v>
      </c>
      <c r="F27">
        <f>F7/1000</f>
        <v>5.0000000000000001E-4</v>
      </c>
      <c r="G27">
        <f>G7/1000</f>
        <v>1.4399999999999999E-5</v>
      </c>
      <c r="H27">
        <f>H7/1000</f>
        <v>2.2799999999999999E-3</v>
      </c>
      <c r="I27">
        <f>I7/1000</f>
        <v>0.158</v>
      </c>
      <c r="J27">
        <f>J7/1000</f>
        <v>0.13</v>
      </c>
    </row>
    <row r="28" spans="2:17" x14ac:dyDescent="0.3">
      <c r="B28" t="str">
        <f>B8</f>
        <v>Liver</v>
      </c>
      <c r="C28">
        <f>C8/1000</f>
        <v>1.5699999999999999E-2</v>
      </c>
      <c r="D28">
        <f>D8/1000</f>
        <v>1.34E-3</v>
      </c>
      <c r="E28">
        <f>E8/1000</f>
        <v>1.1000000000000001E-3</v>
      </c>
      <c r="F28">
        <f>F8/1000</f>
        <v>2.5600000000000002E-3</v>
      </c>
      <c r="G28">
        <f>G8/1000</f>
        <v>7.8700000000000002E-5</v>
      </c>
      <c r="H28">
        <f>H8/1000</f>
        <v>1.0699999999999999E-2</v>
      </c>
      <c r="I28">
        <f>I8/1000</f>
        <v>2.1100000000000001E-2</v>
      </c>
      <c r="J28">
        <f>J8/1000</f>
        <v>1.7299999999999999E-2</v>
      </c>
    </row>
    <row r="29" spans="2:17" x14ac:dyDescent="0.3">
      <c r="B29" t="str">
        <f>B9</f>
        <v>Lung</v>
      </c>
      <c r="C29">
        <f>C9/1000</f>
        <v>1.4E-3</v>
      </c>
      <c r="D29">
        <f>D9/1000</f>
        <v>2.31E-4</v>
      </c>
      <c r="E29">
        <f>E9/1000</f>
        <v>1.8900000000000001E-4</v>
      </c>
      <c r="F29">
        <f>F9/1000</f>
        <v>2.63E-4</v>
      </c>
      <c r="G29">
        <f>G9/1000</f>
        <v>6.9999999999999999E-6</v>
      </c>
      <c r="H29">
        <f>H9/1000</f>
        <v>7.0999999999999991E-4</v>
      </c>
      <c r="I29">
        <f>I9/1000</f>
        <v>2.9449999999999998</v>
      </c>
      <c r="J29">
        <f>J9/1000</f>
        <v>2.4089999999999998</v>
      </c>
    </row>
    <row r="30" spans="2:17" x14ac:dyDescent="0.3">
      <c r="B30" t="str">
        <f>B10</f>
        <v>Muscle</v>
      </c>
      <c r="C30">
        <f>C10/1000</f>
        <v>0.122</v>
      </c>
      <c r="D30">
        <f>D10/1000</f>
        <v>2.6800000000000001E-3</v>
      </c>
      <c r="E30">
        <f>E10/1000</f>
        <v>2.1900000000000001E-3</v>
      </c>
      <c r="F30">
        <f>F10/1000</f>
        <v>1.5800000000000002E-2</v>
      </c>
      <c r="G30">
        <f>G10/1000</f>
        <v>6.0800000000000003E-4</v>
      </c>
      <c r="H30">
        <f>H10/1000</f>
        <v>0.1</v>
      </c>
      <c r="I30">
        <f>I10/1000</f>
        <v>0.92500000000000004</v>
      </c>
      <c r="J30">
        <f>J10/1000</f>
        <v>0.75700000000000001</v>
      </c>
    </row>
    <row r="31" spans="2:17" x14ac:dyDescent="0.3">
      <c r="B31" t="str">
        <f>B11</f>
        <v>Other</v>
      </c>
      <c r="C31">
        <f>C11/1000</f>
        <v>6.0899999999999999E-3</v>
      </c>
      <c r="D31">
        <f>D11/1000</f>
        <v>2.5599999999999999E-4</v>
      </c>
      <c r="E31">
        <f>E11/1000</f>
        <v>2.0899999999999998E-4</v>
      </c>
      <c r="F31">
        <f>F11/1000</f>
        <v>1.0400000000000001E-3</v>
      </c>
      <c r="G31">
        <f>G11/1000</f>
        <v>3.0499999999999999E-5</v>
      </c>
      <c r="H31">
        <f>H11/1000</f>
        <v>4.5500000000000002E-3</v>
      </c>
      <c r="I31">
        <f>I11/1000</f>
        <v>0.105</v>
      </c>
      <c r="J31">
        <f>J11/1000</f>
        <v>8.5599999999999996E-2</v>
      </c>
    </row>
    <row r="32" spans="2:17" x14ac:dyDescent="0.3">
      <c r="B32" t="str">
        <f>B12</f>
        <v>Pancreas</v>
      </c>
      <c r="C32">
        <f>C12/1000</f>
        <v>1E-3</v>
      </c>
      <c r="D32">
        <f>D12/1000</f>
        <v>5.4700000000000001E-5</v>
      </c>
      <c r="E32">
        <f>E12/1000</f>
        <v>4.4799999999999998E-5</v>
      </c>
      <c r="F32">
        <f>F12/1000</f>
        <v>1.7299999999999998E-4</v>
      </c>
      <c r="G32">
        <f>G12/1000</f>
        <v>4.9799999999999998E-6</v>
      </c>
      <c r="H32">
        <f>H12/1000</f>
        <v>7.1699999999999997E-4</v>
      </c>
      <c r="I32">
        <f>I12/1000</f>
        <v>6.3399999999999998E-2</v>
      </c>
      <c r="J32">
        <f>J12/1000</f>
        <v>5.1799999999999999E-2</v>
      </c>
    </row>
    <row r="33" spans="2:10" x14ac:dyDescent="0.3">
      <c r="B33" t="str">
        <f>B13</f>
        <v>SI</v>
      </c>
      <c r="C33">
        <f>C13/1000</f>
        <v>4.9900000000000005E-3</v>
      </c>
      <c r="D33">
        <f>D13/1000</f>
        <v>7.9500000000000008E-5</v>
      </c>
      <c r="E33">
        <f>E13/1000</f>
        <v>6.510000000000001E-5</v>
      </c>
      <c r="F33">
        <f>F13/1000</f>
        <v>8.6700000000000004E-4</v>
      </c>
      <c r="G33">
        <f>G13/1000</f>
        <v>2.4899999999999999E-5</v>
      </c>
      <c r="H33">
        <f>H13/1000</f>
        <v>3.9500000000000004E-3</v>
      </c>
      <c r="I33">
        <f>I13/1000</f>
        <v>0.39800000000000002</v>
      </c>
      <c r="J33">
        <f>J13/1000</f>
        <v>0.32500000000000001</v>
      </c>
    </row>
    <row r="34" spans="2:10" x14ac:dyDescent="0.3">
      <c r="B34" t="str">
        <f>B14</f>
        <v>Skin</v>
      </c>
      <c r="C34">
        <f>C14/1000</f>
        <v>4.99E-2</v>
      </c>
      <c r="D34">
        <f>D14/1000</f>
        <v>1.8700000000000001E-3</v>
      </c>
      <c r="E34">
        <f>E14/1000</f>
        <v>1.5300000000000001E-3</v>
      </c>
      <c r="F34">
        <f>F14/1000</f>
        <v>1.6500000000000001E-2</v>
      </c>
      <c r="G34">
        <f>G14/1000</f>
        <v>2.4899999999999998E-4</v>
      </c>
      <c r="H34">
        <f>H14/1000</f>
        <v>2.98E-2</v>
      </c>
      <c r="I34">
        <f>I14/1000</f>
        <v>0.2</v>
      </c>
      <c r="J34">
        <f>J14/1000</f>
        <v>0.16300000000000001</v>
      </c>
    </row>
    <row r="35" spans="2:10" x14ac:dyDescent="0.3">
      <c r="B35" t="str">
        <f>B15</f>
        <v>Spleen</v>
      </c>
      <c r="C35">
        <f>C15/1000</f>
        <v>2.7699999999999999E-3</v>
      </c>
      <c r="D35">
        <f>D15/1000</f>
        <v>3.3500000000000001E-4</v>
      </c>
      <c r="E35">
        <f>E15/1000</f>
        <v>2.7400000000000005E-4</v>
      </c>
      <c r="F35">
        <f>F15/1000</f>
        <v>5.5400000000000002E-4</v>
      </c>
      <c r="G35">
        <f>G15/1000</f>
        <v>1.38E-5</v>
      </c>
      <c r="H35">
        <f>H15/1000</f>
        <v>1.5900000000000001E-3</v>
      </c>
      <c r="I35">
        <f>I15/1000</f>
        <v>0.17899999999999999</v>
      </c>
      <c r="J35">
        <f>J15/1000</f>
        <v>0.14599999999999999</v>
      </c>
    </row>
    <row r="36" spans="2:10" x14ac:dyDescent="0.3">
      <c r="B36" t="str">
        <f>B16</f>
        <v>Thymus</v>
      </c>
      <c r="C36">
        <f>C16/1000</f>
        <v>9.6000000000000002E-5</v>
      </c>
      <c r="D36">
        <f>D16/1000</f>
        <v>5.2800000000000003E-6</v>
      </c>
      <c r="E36">
        <f>E16/1000</f>
        <v>4.3200000000000001E-6</v>
      </c>
      <c r="F36">
        <f>F16/1000</f>
        <v>1.63E-5</v>
      </c>
      <c r="G36">
        <f>G16/1000</f>
        <v>4.8000000000000006E-7</v>
      </c>
      <c r="H36">
        <f>H16/1000</f>
        <v>6.9599999999999998E-5</v>
      </c>
      <c r="I36">
        <f>I16/1000</f>
        <v>1.2199999999999999E-2</v>
      </c>
      <c r="J36">
        <f>J16/1000</f>
        <v>0.01</v>
      </c>
    </row>
    <row r="37" spans="2:10" x14ac:dyDescent="0.3">
      <c r="B37" t="str">
        <f>B17</f>
        <v>Ly. Node</v>
      </c>
      <c r="C37">
        <f>C17/1000</f>
        <v>1.15E-3</v>
      </c>
      <c r="D37" t="e">
        <f>D17/1000</f>
        <v>#VALUE!</v>
      </c>
      <c r="E37" t="e">
        <f>E17/1000</f>
        <v>#VALUE!</v>
      </c>
      <c r="F37" t="e">
        <f>F17/1000</f>
        <v>#VALUE!</v>
      </c>
      <c r="G37" t="e">
        <f>G17/1000</f>
        <v>#VALUE!</v>
      </c>
      <c r="H37">
        <f>H17/1000</f>
        <v>1.15E-3</v>
      </c>
      <c r="I37">
        <f>I17/1000</f>
        <v>1.6800000000000002E-2</v>
      </c>
      <c r="J37">
        <f>J17/1000</f>
        <v>1.3800000000000002E-2</v>
      </c>
    </row>
    <row r="38" spans="2:10" x14ac:dyDescent="0.3">
      <c r="B38" t="str">
        <f>B18</f>
        <v>Plasma</v>
      </c>
      <c r="C38">
        <f>C18/1000</f>
        <v>9.0600000000000003E-3</v>
      </c>
      <c r="D38" t="e">
        <f>D18/1000</f>
        <v>#VALUE!</v>
      </c>
      <c r="E38" t="e">
        <f>E18/1000</f>
        <v>#VALUE!</v>
      </c>
      <c r="F38" t="e">
        <f>F18/1000</f>
        <v>#VALUE!</v>
      </c>
      <c r="G38" t="e">
        <f>G18/1000</f>
        <v>#VALUE!</v>
      </c>
      <c r="H38" t="e">
        <f>H18/1000</f>
        <v>#VALUE!</v>
      </c>
      <c r="I38">
        <f>I18/1000</f>
        <v>2.9449999999999998</v>
      </c>
      <c r="J38" t="e">
        <f>J18/1000</f>
        <v>#VALUE!</v>
      </c>
    </row>
    <row r="39" spans="2:10" x14ac:dyDescent="0.3">
      <c r="B39" t="str">
        <f>B19</f>
        <v>Blood Cells</v>
      </c>
      <c r="C39">
        <f>C19/1000</f>
        <v>7.4099999999999999E-3</v>
      </c>
      <c r="D39" t="e">
        <f>D19/1000</f>
        <v>#VALUE!</v>
      </c>
      <c r="E39" t="e">
        <f>E19/1000</f>
        <v>#VALUE!</v>
      </c>
      <c r="F39" t="e">
        <f>F19/1000</f>
        <v>#VALUE!</v>
      </c>
      <c r="G39" t="e">
        <f>G19/1000</f>
        <v>#VALUE!</v>
      </c>
      <c r="H39" t="e">
        <f>H19/1000</f>
        <v>#VALUE!</v>
      </c>
      <c r="I39" t="e">
        <f>I19/1000</f>
        <v>#VALUE!</v>
      </c>
      <c r="J39">
        <f>J19/1000</f>
        <v>2.4089999999999998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3A51B-FAB0-4C2E-9991-5764C77A84A8}">
  <dimension ref="A1:S40"/>
  <sheetViews>
    <sheetView topLeftCell="G1" workbookViewId="0">
      <selection activeCell="I1" sqref="I1:I23"/>
    </sheetView>
  </sheetViews>
  <sheetFormatPr defaultRowHeight="14.4" x14ac:dyDescent="0.3"/>
  <sheetData>
    <row r="1" spans="1:19" x14ac:dyDescent="0.3">
      <c r="D1" t="s">
        <v>20</v>
      </c>
      <c r="E1" t="s">
        <v>4</v>
      </c>
      <c r="F1" t="s">
        <v>5</v>
      </c>
      <c r="G1">
        <v>1.34E-2</v>
      </c>
      <c r="H1" t="s">
        <v>21</v>
      </c>
      <c r="I1" t="s">
        <v>4</v>
      </c>
      <c r="J1" t="s">
        <v>5</v>
      </c>
      <c r="K1">
        <v>11.233000000000001</v>
      </c>
      <c r="L1" t="s">
        <v>25</v>
      </c>
      <c r="M1">
        <f>K1*0.002</f>
        <v>2.2466E-2</v>
      </c>
      <c r="O1" t="s">
        <v>63</v>
      </c>
      <c r="P1">
        <f>K1-M1</f>
        <v>11.210534000000001</v>
      </c>
      <c r="R1" t="s">
        <v>41</v>
      </c>
      <c r="S1" s="1" t="s">
        <v>43</v>
      </c>
    </row>
    <row r="2" spans="1:19" x14ac:dyDescent="0.3">
      <c r="A2" t="s">
        <v>0</v>
      </c>
      <c r="B2">
        <v>9.1</v>
      </c>
      <c r="E2" t="s">
        <v>6</v>
      </c>
      <c r="F2" t="s">
        <v>5</v>
      </c>
      <c r="G2">
        <v>1.52E-2</v>
      </c>
      <c r="I2" t="s">
        <v>6</v>
      </c>
      <c r="J2" t="s">
        <v>5</v>
      </c>
      <c r="K2">
        <v>2.5910000000000002</v>
      </c>
      <c r="L2" t="s">
        <v>26</v>
      </c>
      <c r="M2">
        <f t="shared" ref="M2:M3" si="0">K2*0.002</f>
        <v>5.1820000000000008E-3</v>
      </c>
      <c r="P2">
        <f t="shared" ref="P2:P3" si="1">K2-M2</f>
        <v>2.5858180000000002</v>
      </c>
      <c r="S2" s="1" t="s">
        <v>42</v>
      </c>
    </row>
    <row r="3" spans="1:19" x14ac:dyDescent="0.3">
      <c r="A3" t="s">
        <v>50</v>
      </c>
      <c r="E3" t="s">
        <v>1</v>
      </c>
      <c r="I3" t="s">
        <v>1</v>
      </c>
      <c r="K3">
        <v>21.453299999999999</v>
      </c>
      <c r="L3" t="s">
        <v>27</v>
      </c>
      <c r="M3">
        <f>K39+K40</f>
        <v>3.15E-2</v>
      </c>
      <c r="P3">
        <f t="shared" si="1"/>
        <v>21.421799999999998</v>
      </c>
      <c r="S3" s="1" t="s">
        <v>44</v>
      </c>
    </row>
    <row r="4" spans="1:19" x14ac:dyDescent="0.3">
      <c r="E4" t="s">
        <v>2</v>
      </c>
      <c r="R4" t="s">
        <v>45</v>
      </c>
      <c r="S4" s="1" t="s">
        <v>46</v>
      </c>
    </row>
    <row r="5" spans="1:19" x14ac:dyDescent="0.3">
      <c r="A5" t="s">
        <v>19</v>
      </c>
      <c r="E5" t="s">
        <v>3</v>
      </c>
    </row>
    <row r="6" spans="1:19" x14ac:dyDescent="0.3">
      <c r="E6" t="s">
        <v>7</v>
      </c>
      <c r="F6" t="s">
        <v>5</v>
      </c>
      <c r="G6">
        <v>3.6499999999999998E-2</v>
      </c>
      <c r="I6" t="s">
        <v>7</v>
      </c>
      <c r="J6" t="s">
        <v>5</v>
      </c>
      <c r="K6">
        <v>7.7519999999999998</v>
      </c>
      <c r="L6" t="s">
        <v>28</v>
      </c>
      <c r="M6">
        <f t="shared" ref="M6:M7" si="2">K6*0.002</f>
        <v>1.5504E-2</v>
      </c>
      <c r="P6">
        <f t="shared" ref="P6:P7" si="3">K6-M6</f>
        <v>7.7364959999999998</v>
      </c>
      <c r="R6" t="s">
        <v>47</v>
      </c>
      <c r="S6" s="1" t="s">
        <v>48</v>
      </c>
    </row>
    <row r="7" spans="1:19" x14ac:dyDescent="0.3">
      <c r="E7" t="s">
        <v>8</v>
      </c>
      <c r="F7" t="s">
        <v>5</v>
      </c>
      <c r="G7">
        <v>6.8500000000000005E-2</v>
      </c>
      <c r="I7" t="s">
        <v>8</v>
      </c>
      <c r="J7" t="s">
        <v>5</v>
      </c>
      <c r="K7">
        <v>36.402000000000001</v>
      </c>
      <c r="L7" t="s">
        <v>29</v>
      </c>
      <c r="M7">
        <f t="shared" si="2"/>
        <v>7.2804000000000008E-2</v>
      </c>
      <c r="P7">
        <f t="shared" si="3"/>
        <v>36.329196000000003</v>
      </c>
      <c r="S7" s="1" t="s">
        <v>49</v>
      </c>
    </row>
    <row r="9" spans="1:19" x14ac:dyDescent="0.3">
      <c r="E9" t="s">
        <v>10</v>
      </c>
      <c r="F9" t="s">
        <v>5</v>
      </c>
      <c r="G9">
        <v>1.03E-2</v>
      </c>
      <c r="I9" t="s">
        <v>10</v>
      </c>
      <c r="J9" t="s">
        <v>5</v>
      </c>
      <c r="K9">
        <v>13.21</v>
      </c>
      <c r="L9" t="s">
        <v>30</v>
      </c>
      <c r="M9">
        <f>(K9+K20+K21+K22+K23)*0.002</f>
        <v>9.5688000000000023E-2</v>
      </c>
      <c r="P9">
        <f t="shared" ref="P9:P11" si="4">K9-M9</f>
        <v>13.114312</v>
      </c>
      <c r="R9" t="s">
        <v>51</v>
      </c>
    </row>
    <row r="10" spans="1:19" x14ac:dyDescent="0.3">
      <c r="E10" t="s">
        <v>11</v>
      </c>
      <c r="F10" t="s">
        <v>5</v>
      </c>
      <c r="G10">
        <v>8.6099999999999996E-2</v>
      </c>
      <c r="I10" t="s">
        <v>11</v>
      </c>
      <c r="J10" t="s">
        <v>5</v>
      </c>
      <c r="K10">
        <v>33.469000000000001</v>
      </c>
      <c r="L10" t="s">
        <v>31</v>
      </c>
      <c r="M10">
        <f t="shared" ref="M9:M11" si="5">K10*0.002</f>
        <v>6.6937999999999998E-2</v>
      </c>
      <c r="P10">
        <f t="shared" si="4"/>
        <v>33.402062000000001</v>
      </c>
    </row>
    <row r="11" spans="1:19" x14ac:dyDescent="0.3">
      <c r="E11" t="s">
        <v>12</v>
      </c>
      <c r="F11" t="s">
        <v>5</v>
      </c>
      <c r="G11">
        <v>1.09E-2</v>
      </c>
      <c r="I11" t="s">
        <v>12</v>
      </c>
      <c r="J11" t="s">
        <v>5</v>
      </c>
      <c r="K11">
        <v>5.5209999999999999</v>
      </c>
      <c r="L11" t="s">
        <v>32</v>
      </c>
      <c r="M11">
        <f t="shared" si="5"/>
        <v>1.1042E-2</v>
      </c>
      <c r="P11">
        <f t="shared" si="4"/>
        <v>5.5099580000000001</v>
      </c>
      <c r="R11" t="s">
        <v>52</v>
      </c>
    </row>
    <row r="14" spans="1:19" x14ac:dyDescent="0.3">
      <c r="E14" t="s">
        <v>15</v>
      </c>
      <c r="F14" t="s">
        <v>5</v>
      </c>
      <c r="G14">
        <v>2.7799999999999998E-2</v>
      </c>
      <c r="I14" t="s">
        <v>15</v>
      </c>
      <c r="J14" t="s">
        <v>5</v>
      </c>
      <c r="K14">
        <v>11.625999999999999</v>
      </c>
      <c r="L14" t="s">
        <v>33</v>
      </c>
      <c r="M14">
        <f>K14*0.002</f>
        <v>2.3251999999999998E-2</v>
      </c>
      <c r="P14">
        <f>K14-M14</f>
        <v>11.602748</v>
      </c>
      <c r="R14" t="s">
        <v>53</v>
      </c>
    </row>
    <row r="15" spans="1:19" x14ac:dyDescent="0.3">
      <c r="R15" t="s">
        <v>0</v>
      </c>
      <c r="S15">
        <v>9.1</v>
      </c>
    </row>
    <row r="16" spans="1:19" x14ac:dyDescent="0.3">
      <c r="E16" t="s">
        <v>17</v>
      </c>
      <c r="F16" t="s">
        <v>5</v>
      </c>
      <c r="G16">
        <v>1.1900000000000001E-3</v>
      </c>
      <c r="I16" t="s">
        <v>17</v>
      </c>
      <c r="J16" t="s">
        <v>5</v>
      </c>
      <c r="K16">
        <v>0.35299999999999998</v>
      </c>
      <c r="L16" t="s">
        <v>34</v>
      </c>
      <c r="M16">
        <f>K16*0.002</f>
        <v>7.0599999999999992E-4</v>
      </c>
      <c r="P16">
        <f>K16-M16</f>
        <v>0.352294</v>
      </c>
      <c r="R16" t="s">
        <v>54</v>
      </c>
      <c r="S16">
        <f>S15*K27</f>
        <v>1622.02313</v>
      </c>
    </row>
    <row r="17" spans="5:19" x14ac:dyDescent="0.3">
      <c r="R17" t="s">
        <v>54</v>
      </c>
      <c r="S17">
        <f>K27/S15</f>
        <v>19.587285714285716</v>
      </c>
    </row>
    <row r="18" spans="5:19" x14ac:dyDescent="0.3">
      <c r="E18" t="s">
        <v>18</v>
      </c>
      <c r="F18" t="s">
        <v>5</v>
      </c>
      <c r="G18">
        <f>SUM(G1:G16)</f>
        <v>0.26989000000000002</v>
      </c>
      <c r="I18" t="s">
        <v>18</v>
      </c>
      <c r="J18" t="s">
        <v>5</v>
      </c>
      <c r="K18">
        <f>SUM(K1:K16)</f>
        <v>143.6103</v>
      </c>
      <c r="L18" t="s">
        <v>35</v>
      </c>
      <c r="M18">
        <f>SUM(M1:M16)</f>
        <v>0.345082</v>
      </c>
      <c r="P18">
        <f>SUM(P1:P16)</f>
        <v>143.265218</v>
      </c>
      <c r="R18" t="s">
        <v>55</v>
      </c>
      <c r="S18">
        <f>1/S15</f>
        <v>0.10989010989010989</v>
      </c>
    </row>
    <row r="19" spans="5:19" x14ac:dyDescent="0.3">
      <c r="R19" t="s">
        <v>54</v>
      </c>
      <c r="S19">
        <f>K28*S18</f>
        <v>19.587285714285716</v>
      </c>
    </row>
    <row r="20" spans="5:19" x14ac:dyDescent="0.3">
      <c r="E20" t="s">
        <v>9</v>
      </c>
      <c r="F20" t="s">
        <v>5</v>
      </c>
      <c r="G20">
        <v>1.7299999999999999E-2</v>
      </c>
      <c r="I20" t="s">
        <v>9</v>
      </c>
      <c r="J20" t="s">
        <v>5</v>
      </c>
      <c r="K20">
        <v>12.867000000000001</v>
      </c>
      <c r="L20" t="s">
        <v>36</v>
      </c>
      <c r="M20">
        <f t="shared" ref="M20:M23" si="6">K20*0.002</f>
        <v>2.5734000000000003E-2</v>
      </c>
      <c r="P20">
        <f t="shared" ref="P20:P23" si="7">K20-M20</f>
        <v>12.841266000000001</v>
      </c>
    </row>
    <row r="21" spans="5:19" x14ac:dyDescent="0.3">
      <c r="E21" t="s">
        <v>13</v>
      </c>
      <c r="F21" t="s">
        <v>5</v>
      </c>
      <c r="G21">
        <v>6.2399999999999999E-3</v>
      </c>
      <c r="I21" t="s">
        <v>13</v>
      </c>
      <c r="J21" t="s">
        <v>5</v>
      </c>
      <c r="K21">
        <v>3.056</v>
      </c>
      <c r="L21" t="s">
        <v>37</v>
      </c>
      <c r="M21">
        <f t="shared" si="6"/>
        <v>6.1120000000000002E-3</v>
      </c>
      <c r="P21">
        <f t="shared" si="7"/>
        <v>3.0498880000000002</v>
      </c>
    </row>
    <row r="22" spans="5:19" x14ac:dyDescent="0.3">
      <c r="E22" t="s">
        <v>14</v>
      </c>
      <c r="F22" t="s">
        <v>5</v>
      </c>
      <c r="G22">
        <v>5.8099999999999999E-2</v>
      </c>
      <c r="I22" t="s">
        <v>14</v>
      </c>
      <c r="J22" t="s">
        <v>5</v>
      </c>
      <c r="K22">
        <v>12.368</v>
      </c>
      <c r="L22" t="s">
        <v>38</v>
      </c>
      <c r="M22">
        <f t="shared" si="6"/>
        <v>2.4736000000000001E-2</v>
      </c>
      <c r="P22">
        <f t="shared" si="7"/>
        <v>12.343264</v>
      </c>
    </row>
    <row r="23" spans="5:19" x14ac:dyDescent="0.3">
      <c r="E23" t="s">
        <v>16</v>
      </c>
      <c r="F23" t="s">
        <v>5</v>
      </c>
      <c r="G23">
        <v>8.1799999999999998E-3</v>
      </c>
      <c r="I23" t="s">
        <v>16</v>
      </c>
      <c r="J23" t="s">
        <v>5</v>
      </c>
      <c r="K23">
        <v>6.343</v>
      </c>
      <c r="L23" t="s">
        <v>39</v>
      </c>
      <c r="M23">
        <f t="shared" si="6"/>
        <v>1.2685999999999999E-2</v>
      </c>
      <c r="P23">
        <f t="shared" si="7"/>
        <v>6.3303139999999996</v>
      </c>
    </row>
    <row r="24" spans="5:19" x14ac:dyDescent="0.3">
      <c r="K24">
        <f>SUM(K20:K23)</f>
        <v>34.634</v>
      </c>
      <c r="M24">
        <f>SUM(M20:M23)</f>
        <v>6.926800000000001E-2</v>
      </c>
      <c r="P24">
        <f>SUM(P20:P23)</f>
        <v>34.564731999999999</v>
      </c>
    </row>
    <row r="25" spans="5:19" x14ac:dyDescent="0.3">
      <c r="K25">
        <f>K24+K18</f>
        <v>178.24430000000001</v>
      </c>
      <c r="M25">
        <f>M24+M18</f>
        <v>0.41435</v>
      </c>
      <c r="P25">
        <f>P24+P18</f>
        <v>177.82995</v>
      </c>
    </row>
    <row r="26" spans="5:19" x14ac:dyDescent="0.3">
      <c r="I26" t="s">
        <v>22</v>
      </c>
      <c r="K26">
        <v>181.91249999999999</v>
      </c>
      <c r="L26">
        <f>K26-K25</f>
        <v>3.6681999999999846</v>
      </c>
    </row>
    <row r="27" spans="5:19" x14ac:dyDescent="0.3">
      <c r="I27" t="s">
        <v>23</v>
      </c>
      <c r="K27">
        <f>K25</f>
        <v>178.24430000000001</v>
      </c>
      <c r="M27">
        <f t="shared" ref="M27" si="8">K27/$B$2</f>
        <v>19.587285714285716</v>
      </c>
      <c r="N27">
        <v>3.67</v>
      </c>
      <c r="O27">
        <f>N27/K27</f>
        <v>2.0589718717512986E-2</v>
      </c>
    </row>
    <row r="28" spans="5:19" x14ac:dyDescent="0.3">
      <c r="I28" t="s">
        <v>24</v>
      </c>
      <c r="K28">
        <f>K25</f>
        <v>178.24430000000001</v>
      </c>
    </row>
    <row r="29" spans="5:19" x14ac:dyDescent="0.3">
      <c r="I29" t="s">
        <v>56</v>
      </c>
      <c r="K29">
        <f>K27*0.002</f>
        <v>0.35648860000000004</v>
      </c>
    </row>
    <row r="30" spans="5:19" x14ac:dyDescent="0.3">
      <c r="I30" t="s">
        <v>40</v>
      </c>
      <c r="K30">
        <f>3.67</f>
        <v>3.67</v>
      </c>
    </row>
    <row r="31" spans="5:19" x14ac:dyDescent="0.3">
      <c r="I31" t="s">
        <v>2</v>
      </c>
      <c r="K31">
        <v>1.0500000000000001E-2</v>
      </c>
    </row>
    <row r="32" spans="5:19" x14ac:dyDescent="0.3">
      <c r="I32" t="s">
        <v>59</v>
      </c>
      <c r="K32">
        <f>K29+K28</f>
        <v>178.60078860000002</v>
      </c>
    </row>
    <row r="33" spans="9:15" x14ac:dyDescent="0.3">
      <c r="L33" t="s">
        <v>58</v>
      </c>
      <c r="M33">
        <f>K29+M25</f>
        <v>0.77083860000000004</v>
      </c>
    </row>
    <row r="34" spans="9:15" x14ac:dyDescent="0.3">
      <c r="L34" t="s">
        <v>60</v>
      </c>
      <c r="M34">
        <f>K25-M25</f>
        <v>177.82995</v>
      </c>
    </row>
    <row r="35" spans="9:15" x14ac:dyDescent="0.3">
      <c r="L35" t="s">
        <v>62</v>
      </c>
      <c r="M35">
        <f>K32-M34</f>
        <v>0.77083860000001891</v>
      </c>
      <c r="N35" t="s">
        <v>40</v>
      </c>
      <c r="O35">
        <f>M35</f>
        <v>0.77083860000001891</v>
      </c>
    </row>
    <row r="36" spans="9:15" x14ac:dyDescent="0.3">
      <c r="L36" t="s">
        <v>61</v>
      </c>
      <c r="M36">
        <f>M25+K29</f>
        <v>0.77083860000000004</v>
      </c>
    </row>
    <row r="38" spans="9:15" x14ac:dyDescent="0.3">
      <c r="M38">
        <f>K27+K29</f>
        <v>178.60078860000002</v>
      </c>
    </row>
    <row r="39" spans="9:15" x14ac:dyDescent="0.3">
      <c r="I39" t="s">
        <v>57</v>
      </c>
      <c r="K39">
        <v>1.0500000000000001E-2</v>
      </c>
      <c r="M39">
        <f>P25+M25+K29</f>
        <v>178.60078860000002</v>
      </c>
    </row>
    <row r="40" spans="9:15" x14ac:dyDescent="0.3">
      <c r="I40" t="s">
        <v>3</v>
      </c>
      <c r="K40">
        <v>2.1000000000000001E-2</v>
      </c>
      <c r="M40">
        <f>M38-M39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B57B2-3350-4525-80D4-32FB6C73526E}">
  <dimension ref="A1:S40"/>
  <sheetViews>
    <sheetView topLeftCell="F19" workbookViewId="0">
      <selection activeCell="K39" sqref="K39:K40"/>
    </sheetView>
  </sheetViews>
  <sheetFormatPr defaultRowHeight="14.4" x14ac:dyDescent="0.3"/>
  <sheetData>
    <row r="1" spans="1:19" x14ac:dyDescent="0.3">
      <c r="D1" t="s">
        <v>20</v>
      </c>
      <c r="E1" t="s">
        <v>4</v>
      </c>
      <c r="F1" t="s">
        <v>5</v>
      </c>
      <c r="G1">
        <v>1.34E-2</v>
      </c>
      <c r="H1" t="s">
        <v>21</v>
      </c>
      <c r="I1" t="s">
        <v>4</v>
      </c>
      <c r="J1" t="s">
        <v>5</v>
      </c>
      <c r="K1">
        <v>11.233000000000001</v>
      </c>
      <c r="L1" t="s">
        <v>25</v>
      </c>
      <c r="M1">
        <f>K1*0.002</f>
        <v>2.2466E-2</v>
      </c>
      <c r="O1" t="s">
        <v>63</v>
      </c>
      <c r="P1">
        <f>K1-M1</f>
        <v>11.210534000000001</v>
      </c>
      <c r="R1" t="s">
        <v>41</v>
      </c>
      <c r="S1" s="1" t="s">
        <v>43</v>
      </c>
    </row>
    <row r="2" spans="1:19" x14ac:dyDescent="0.3">
      <c r="A2" t="s">
        <v>0</v>
      </c>
      <c r="B2">
        <v>9.1</v>
      </c>
      <c r="E2" t="s">
        <v>6</v>
      </c>
      <c r="F2" t="s">
        <v>5</v>
      </c>
      <c r="G2">
        <v>1.52E-2</v>
      </c>
      <c r="I2" t="s">
        <v>6</v>
      </c>
      <c r="J2" t="s">
        <v>5</v>
      </c>
      <c r="K2">
        <v>2.5910000000000002</v>
      </c>
      <c r="L2" t="s">
        <v>26</v>
      </c>
      <c r="M2">
        <f t="shared" ref="M2:M3" si="0">K2*0.002</f>
        <v>5.1820000000000008E-3</v>
      </c>
      <c r="P2">
        <f t="shared" ref="P2:P3" si="1">K2-M2</f>
        <v>2.5858180000000002</v>
      </c>
      <c r="S2" s="1" t="s">
        <v>42</v>
      </c>
    </row>
    <row r="3" spans="1:19" x14ac:dyDescent="0.3">
      <c r="A3" t="s">
        <v>50</v>
      </c>
      <c r="E3" t="s">
        <v>1</v>
      </c>
      <c r="I3" t="s">
        <v>1</v>
      </c>
      <c r="K3">
        <v>21.453299999999999</v>
      </c>
      <c r="L3" t="s">
        <v>27</v>
      </c>
      <c r="M3">
        <f>K39+K40</f>
        <v>3.15E-2</v>
      </c>
      <c r="P3">
        <f t="shared" si="1"/>
        <v>21.421799999999998</v>
      </c>
      <c r="S3" s="1" t="s">
        <v>44</v>
      </c>
    </row>
    <row r="4" spans="1:19" x14ac:dyDescent="0.3">
      <c r="E4" t="s">
        <v>2</v>
      </c>
      <c r="R4" t="s">
        <v>45</v>
      </c>
      <c r="S4" s="1" t="s">
        <v>46</v>
      </c>
    </row>
    <row r="5" spans="1:19" x14ac:dyDescent="0.3">
      <c r="A5" t="s">
        <v>19</v>
      </c>
      <c r="E5" t="s">
        <v>3</v>
      </c>
    </row>
    <row r="6" spans="1:19" x14ac:dyDescent="0.3">
      <c r="E6" t="s">
        <v>7</v>
      </c>
      <c r="F6" t="s">
        <v>5</v>
      </c>
      <c r="G6">
        <v>3.6499999999999998E-2</v>
      </c>
      <c r="I6" t="s">
        <v>7</v>
      </c>
      <c r="J6" t="s">
        <v>5</v>
      </c>
      <c r="K6">
        <v>7.7519999999999998</v>
      </c>
      <c r="L6" t="s">
        <v>28</v>
      </c>
      <c r="M6">
        <f t="shared" ref="M6:M7" si="2">K6*0.002</f>
        <v>1.5504E-2</v>
      </c>
      <c r="P6">
        <f t="shared" ref="P6:P7" si="3">K6-M6</f>
        <v>7.7364959999999998</v>
      </c>
      <c r="R6" t="s">
        <v>47</v>
      </c>
      <c r="S6" s="1" t="s">
        <v>48</v>
      </c>
    </row>
    <row r="7" spans="1:19" x14ac:dyDescent="0.3">
      <c r="E7" t="s">
        <v>8</v>
      </c>
      <c r="F7" t="s">
        <v>5</v>
      </c>
      <c r="G7">
        <v>6.8500000000000005E-2</v>
      </c>
      <c r="I7" t="s">
        <v>8</v>
      </c>
      <c r="J7" t="s">
        <v>5</v>
      </c>
      <c r="K7">
        <v>36.402000000000001</v>
      </c>
      <c r="L7" t="s">
        <v>29</v>
      </c>
      <c r="M7">
        <f t="shared" si="2"/>
        <v>7.2804000000000008E-2</v>
      </c>
      <c r="P7">
        <f t="shared" si="3"/>
        <v>36.329196000000003</v>
      </c>
      <c r="S7" s="1" t="s">
        <v>49</v>
      </c>
    </row>
    <row r="9" spans="1:19" x14ac:dyDescent="0.3">
      <c r="E9" t="s">
        <v>10</v>
      </c>
      <c r="F9" t="s">
        <v>5</v>
      </c>
      <c r="G9">
        <v>1.03E-2</v>
      </c>
      <c r="I9" t="s">
        <v>10</v>
      </c>
      <c r="J9" t="s">
        <v>5</v>
      </c>
      <c r="K9">
        <v>13.21</v>
      </c>
      <c r="L9" t="s">
        <v>30</v>
      </c>
      <c r="M9">
        <f t="shared" ref="M9:M11" si="4">K9*0.002</f>
        <v>2.6420000000000003E-2</v>
      </c>
      <c r="P9">
        <f t="shared" ref="P9:P11" si="5">K9-M9</f>
        <v>13.183580000000001</v>
      </c>
      <c r="R9" t="s">
        <v>51</v>
      </c>
    </row>
    <row r="10" spans="1:19" x14ac:dyDescent="0.3">
      <c r="E10" t="s">
        <v>11</v>
      </c>
      <c r="F10" t="s">
        <v>5</v>
      </c>
      <c r="G10">
        <v>8.6099999999999996E-2</v>
      </c>
      <c r="I10" t="s">
        <v>11</v>
      </c>
      <c r="J10" t="s">
        <v>5</v>
      </c>
      <c r="K10">
        <v>33.469000000000001</v>
      </c>
      <c r="L10" t="s">
        <v>31</v>
      </c>
      <c r="M10">
        <f t="shared" si="4"/>
        <v>6.6937999999999998E-2</v>
      </c>
      <c r="P10">
        <f t="shared" si="5"/>
        <v>33.402062000000001</v>
      </c>
    </row>
    <row r="11" spans="1:19" x14ac:dyDescent="0.3">
      <c r="E11" t="s">
        <v>12</v>
      </c>
      <c r="F11" t="s">
        <v>5</v>
      </c>
      <c r="G11">
        <v>1.09E-2</v>
      </c>
      <c r="I11" t="s">
        <v>12</v>
      </c>
      <c r="J11" t="s">
        <v>5</v>
      </c>
      <c r="K11">
        <v>5.5209999999999999</v>
      </c>
      <c r="L11" t="s">
        <v>32</v>
      </c>
      <c r="M11">
        <f t="shared" si="4"/>
        <v>1.1042E-2</v>
      </c>
      <c r="P11">
        <f t="shared" si="5"/>
        <v>5.5099580000000001</v>
      </c>
      <c r="R11" t="s">
        <v>52</v>
      </c>
    </row>
    <row r="14" spans="1:19" x14ac:dyDescent="0.3">
      <c r="E14" t="s">
        <v>15</v>
      </c>
      <c r="F14" t="s">
        <v>5</v>
      </c>
      <c r="G14">
        <v>2.7799999999999998E-2</v>
      </c>
      <c r="I14" t="s">
        <v>15</v>
      </c>
      <c r="J14" t="s">
        <v>5</v>
      </c>
      <c r="K14">
        <v>11.625999999999999</v>
      </c>
      <c r="L14" t="s">
        <v>33</v>
      </c>
      <c r="M14">
        <f>K14*0.002</f>
        <v>2.3251999999999998E-2</v>
      </c>
      <c r="P14">
        <f>K14-M14</f>
        <v>11.602748</v>
      </c>
      <c r="R14" t="s">
        <v>53</v>
      </c>
    </row>
    <row r="15" spans="1:19" x14ac:dyDescent="0.3">
      <c r="R15" t="s">
        <v>0</v>
      </c>
      <c r="S15">
        <v>9.1</v>
      </c>
    </row>
    <row r="16" spans="1:19" x14ac:dyDescent="0.3">
      <c r="E16" t="s">
        <v>17</v>
      </c>
      <c r="F16" t="s">
        <v>5</v>
      </c>
      <c r="G16">
        <v>1.1900000000000001E-3</v>
      </c>
      <c r="I16" t="s">
        <v>17</v>
      </c>
      <c r="J16" t="s">
        <v>5</v>
      </c>
      <c r="K16">
        <v>0.35299999999999998</v>
      </c>
      <c r="L16" t="s">
        <v>34</v>
      </c>
      <c r="M16">
        <f>K16*0.002</f>
        <v>7.0599999999999992E-4</v>
      </c>
      <c r="P16">
        <f>K16-M16</f>
        <v>0.352294</v>
      </c>
      <c r="R16" t="s">
        <v>54</v>
      </c>
      <c r="S16">
        <f>S15*K27</f>
        <v>1622.02313</v>
      </c>
    </row>
    <row r="17" spans="5:19" x14ac:dyDescent="0.3">
      <c r="R17" t="s">
        <v>54</v>
      </c>
      <c r="S17">
        <f>K27/S15</f>
        <v>19.587285714285716</v>
      </c>
    </row>
    <row r="18" spans="5:19" x14ac:dyDescent="0.3">
      <c r="E18" t="s">
        <v>18</v>
      </c>
      <c r="F18" t="s">
        <v>5</v>
      </c>
      <c r="G18">
        <f>SUM(G1:G16)</f>
        <v>0.26989000000000002</v>
      </c>
      <c r="I18" t="s">
        <v>18</v>
      </c>
      <c r="J18" t="s">
        <v>5</v>
      </c>
      <c r="K18">
        <f>SUM(K1:K16)</f>
        <v>143.6103</v>
      </c>
      <c r="L18" t="s">
        <v>35</v>
      </c>
      <c r="M18">
        <f>SUM(M1:M16)</f>
        <v>0.275814</v>
      </c>
      <c r="P18">
        <f>SUM(P1:P16)</f>
        <v>143.334486</v>
      </c>
      <c r="R18" t="s">
        <v>55</v>
      </c>
      <c r="S18">
        <f>1/S15</f>
        <v>0.10989010989010989</v>
      </c>
    </row>
    <row r="19" spans="5:19" x14ac:dyDescent="0.3">
      <c r="R19" t="s">
        <v>54</v>
      </c>
      <c r="S19">
        <f>K28*S18</f>
        <v>19.587285714285716</v>
      </c>
    </row>
    <row r="20" spans="5:19" x14ac:dyDescent="0.3">
      <c r="E20" t="s">
        <v>9</v>
      </c>
      <c r="F20" t="s">
        <v>5</v>
      </c>
      <c r="G20">
        <v>1.7299999999999999E-2</v>
      </c>
      <c r="I20" t="s">
        <v>9</v>
      </c>
      <c r="J20" t="s">
        <v>5</v>
      </c>
      <c r="K20">
        <v>12.867000000000001</v>
      </c>
      <c r="L20" t="s">
        <v>36</v>
      </c>
      <c r="M20">
        <f t="shared" ref="M20:M23" si="6">K20*0.002</f>
        <v>2.5734000000000003E-2</v>
      </c>
      <c r="P20">
        <f t="shared" ref="P20:P23" si="7">K20-M20</f>
        <v>12.841266000000001</v>
      </c>
    </row>
    <row r="21" spans="5:19" x14ac:dyDescent="0.3">
      <c r="E21" t="s">
        <v>13</v>
      </c>
      <c r="F21" t="s">
        <v>5</v>
      </c>
      <c r="G21">
        <v>6.2399999999999999E-3</v>
      </c>
      <c r="I21" t="s">
        <v>13</v>
      </c>
      <c r="J21" t="s">
        <v>5</v>
      </c>
      <c r="K21">
        <v>3.056</v>
      </c>
      <c r="L21" t="s">
        <v>37</v>
      </c>
      <c r="M21">
        <f t="shared" si="6"/>
        <v>6.1120000000000002E-3</v>
      </c>
      <c r="P21">
        <f t="shared" si="7"/>
        <v>3.0498880000000002</v>
      </c>
    </row>
    <row r="22" spans="5:19" x14ac:dyDescent="0.3">
      <c r="E22" t="s">
        <v>14</v>
      </c>
      <c r="F22" t="s">
        <v>5</v>
      </c>
      <c r="G22">
        <v>5.8099999999999999E-2</v>
      </c>
      <c r="I22" t="s">
        <v>14</v>
      </c>
      <c r="J22" t="s">
        <v>5</v>
      </c>
      <c r="K22">
        <v>12.368</v>
      </c>
      <c r="L22" t="s">
        <v>38</v>
      </c>
      <c r="M22">
        <f t="shared" si="6"/>
        <v>2.4736000000000001E-2</v>
      </c>
      <c r="P22">
        <f t="shared" si="7"/>
        <v>12.343264</v>
      </c>
    </row>
    <row r="23" spans="5:19" x14ac:dyDescent="0.3">
      <c r="E23" t="s">
        <v>16</v>
      </c>
      <c r="F23" t="s">
        <v>5</v>
      </c>
      <c r="G23">
        <v>8.1799999999999998E-3</v>
      </c>
      <c r="I23" t="s">
        <v>16</v>
      </c>
      <c r="J23" t="s">
        <v>5</v>
      </c>
      <c r="K23">
        <v>6.343</v>
      </c>
      <c r="L23" t="s">
        <v>39</v>
      </c>
      <c r="M23">
        <f t="shared" si="6"/>
        <v>1.2685999999999999E-2</v>
      </c>
      <c r="P23">
        <f t="shared" si="7"/>
        <v>6.3303139999999996</v>
      </c>
    </row>
    <row r="24" spans="5:19" x14ac:dyDescent="0.3">
      <c r="K24">
        <f>SUM(K20:K23)</f>
        <v>34.634</v>
      </c>
      <c r="M24">
        <f>SUM(M20:M23)</f>
        <v>6.926800000000001E-2</v>
      </c>
      <c r="P24">
        <f>SUM(P20:P23)</f>
        <v>34.564731999999999</v>
      </c>
    </row>
    <row r="25" spans="5:19" x14ac:dyDescent="0.3">
      <c r="K25">
        <f>K24+K18</f>
        <v>178.24430000000001</v>
      </c>
      <c r="M25">
        <f>M24+M18</f>
        <v>0.345082</v>
      </c>
      <c r="P25">
        <f>P24+P18</f>
        <v>177.89921799999999</v>
      </c>
    </row>
    <row r="26" spans="5:19" x14ac:dyDescent="0.3">
      <c r="I26" t="s">
        <v>22</v>
      </c>
      <c r="K26">
        <v>181.91249999999999</v>
      </c>
      <c r="L26">
        <f>K26-K25</f>
        <v>3.6681999999999846</v>
      </c>
    </row>
    <row r="27" spans="5:19" x14ac:dyDescent="0.3">
      <c r="I27" t="s">
        <v>23</v>
      </c>
      <c r="K27">
        <f>K25</f>
        <v>178.24430000000001</v>
      </c>
      <c r="M27">
        <f t="shared" ref="M27" si="8">K27/$B$2</f>
        <v>19.587285714285716</v>
      </c>
      <c r="N27">
        <v>3.67</v>
      </c>
      <c r="O27">
        <f>N27/K27</f>
        <v>2.0589718717512986E-2</v>
      </c>
    </row>
    <row r="28" spans="5:19" x14ac:dyDescent="0.3">
      <c r="I28" t="s">
        <v>24</v>
      </c>
      <c r="K28">
        <f>K25</f>
        <v>178.24430000000001</v>
      </c>
    </row>
    <row r="29" spans="5:19" x14ac:dyDescent="0.3">
      <c r="I29" t="s">
        <v>56</v>
      </c>
      <c r="K29">
        <f>K27*0.002</f>
        <v>0.35648860000000004</v>
      </c>
    </row>
    <row r="30" spans="5:19" x14ac:dyDescent="0.3">
      <c r="I30" t="s">
        <v>40</v>
      </c>
      <c r="K30">
        <f>3.67</f>
        <v>3.67</v>
      </c>
    </row>
    <row r="31" spans="5:19" x14ac:dyDescent="0.3">
      <c r="I31" t="s">
        <v>2</v>
      </c>
      <c r="K31">
        <v>1.0500000000000001E-2</v>
      </c>
    </row>
    <row r="32" spans="5:19" x14ac:dyDescent="0.3">
      <c r="I32" t="s">
        <v>59</v>
      </c>
      <c r="K32">
        <f>K29+K28</f>
        <v>178.60078860000002</v>
      </c>
    </row>
    <row r="33" spans="9:15" x14ac:dyDescent="0.3">
      <c r="L33" t="s">
        <v>58</v>
      </c>
      <c r="M33">
        <f>K29+M25</f>
        <v>0.70157060000000004</v>
      </c>
    </row>
    <row r="34" spans="9:15" x14ac:dyDescent="0.3">
      <c r="L34" t="s">
        <v>60</v>
      </c>
      <c r="M34">
        <f>K25-M25</f>
        <v>177.89921800000002</v>
      </c>
    </row>
    <row r="35" spans="9:15" x14ac:dyDescent="0.3">
      <c r="L35" t="s">
        <v>62</v>
      </c>
      <c r="M35">
        <f>K32-M34</f>
        <v>0.7015705999999966</v>
      </c>
      <c r="N35" t="s">
        <v>40</v>
      </c>
      <c r="O35">
        <f>M35</f>
        <v>0.7015705999999966</v>
      </c>
    </row>
    <row r="36" spans="9:15" x14ac:dyDescent="0.3">
      <c r="L36" t="s">
        <v>61</v>
      </c>
      <c r="M36">
        <f>M25+K29</f>
        <v>0.70157060000000004</v>
      </c>
    </row>
    <row r="38" spans="9:15" x14ac:dyDescent="0.3">
      <c r="M38">
        <f>K27+K29</f>
        <v>178.60078860000002</v>
      </c>
    </row>
    <row r="39" spans="9:15" x14ac:dyDescent="0.3">
      <c r="I39" t="s">
        <v>57</v>
      </c>
      <c r="K39">
        <v>1.0500000000000001E-2</v>
      </c>
      <c r="M39">
        <f>P25+M25+K29</f>
        <v>178.60078859999999</v>
      </c>
    </row>
    <row r="40" spans="9:15" x14ac:dyDescent="0.3">
      <c r="I40" t="s">
        <v>3</v>
      </c>
      <c r="K40">
        <v>2.1000000000000001E-2</v>
      </c>
      <c r="M40">
        <f>M38-M39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Final</vt:lpstr>
      <vt:lpstr>Volumes</vt:lpstr>
      <vt:lpstr>Mouse</vt:lpstr>
      <vt:lpstr>Monkey</vt:lpstr>
      <vt:lpstr>Rat</vt:lpstr>
      <vt:lpstr>Revised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2025-07-28T13:20:30Z</dcterms:created>
  <dcterms:modified xsi:type="dcterms:W3CDTF">2025-07-29T17:47:44Z</dcterms:modified>
</cp:coreProperties>
</file>